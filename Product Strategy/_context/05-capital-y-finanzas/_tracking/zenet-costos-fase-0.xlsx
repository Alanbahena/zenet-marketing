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alanbahena/Library/Mobile Documents/com~apple~CloudDocs/Zenet/03_Marketing/claude_code/Product Strategy/_context/05-capital-y-finanzas/_tracking/"/>
    </mc:Choice>
  </mc:AlternateContent>
  <xr:revisionPtr revIDLastSave="0" documentId="13_ncr:1_{DCFFE3DA-4E16-C949-ADF4-827CD6126BA9}" xr6:coauthVersionLast="47" xr6:coauthVersionMax="47" xr10:uidLastSave="{00000000-0000-0000-0000-000000000000}"/>
  <bookViews>
    <workbookView xWindow="20" yWindow="500" windowWidth="38400" windowHeight="21100" activeTab="1" xr2:uid="{00000000-000D-0000-FFFF-FFFF00000000}"/>
  </bookViews>
  <sheets>
    <sheet name="Catálogo de Costos" sheetId="1" r:id="rId1"/>
    <sheet name="Tracking Mensual" sheetId="2" r:id="rId2"/>
    <sheet name="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2" l="1"/>
  <c r="M35" i="2"/>
  <c r="L35" i="2"/>
  <c r="K35" i="2"/>
  <c r="J35" i="2"/>
  <c r="I35" i="2"/>
  <c r="H35" i="2"/>
  <c r="G35" i="2"/>
  <c r="F35" i="2"/>
  <c r="E35" i="2"/>
  <c r="D35" i="2"/>
  <c r="C35" i="2"/>
  <c r="B35" i="2"/>
  <c r="N34" i="2"/>
  <c r="N33" i="2"/>
  <c r="N32" i="2"/>
  <c r="N31" i="2"/>
  <c r="N30" i="2"/>
  <c r="M28" i="2"/>
  <c r="L28" i="2"/>
  <c r="K28" i="2"/>
  <c r="J28" i="2"/>
  <c r="I28" i="2"/>
  <c r="H28" i="2"/>
  <c r="G28" i="2"/>
  <c r="F28" i="2"/>
  <c r="E28" i="2"/>
  <c r="D28" i="2"/>
  <c r="C28" i="2"/>
  <c r="B28" i="2"/>
  <c r="N27" i="2"/>
  <c r="N26" i="2"/>
  <c r="N25" i="2"/>
  <c r="N24" i="2"/>
  <c r="N23" i="2"/>
  <c r="M21" i="2"/>
  <c r="L21" i="2"/>
  <c r="K21" i="2"/>
  <c r="J21" i="2"/>
  <c r="I21" i="2"/>
  <c r="H21" i="2"/>
  <c r="G21" i="2"/>
  <c r="F21" i="2"/>
  <c r="E21" i="2"/>
  <c r="D21" i="2"/>
  <c r="C21" i="2"/>
  <c r="B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B12" i="3" l="1"/>
  <c r="B9" i="3"/>
  <c r="M36" i="2"/>
  <c r="M38" i="2" s="1"/>
  <c r="L36" i="2"/>
  <c r="L38" i="2" s="1"/>
  <c r="K36" i="2"/>
  <c r="K38" i="2" s="1"/>
  <c r="J36" i="2"/>
  <c r="J38" i="2" s="1"/>
  <c r="I36" i="2"/>
  <c r="I38" i="2" s="1"/>
  <c r="H36" i="2"/>
  <c r="H38" i="2" s="1"/>
  <c r="G36" i="2"/>
  <c r="G38" i="2" s="1"/>
  <c r="F36" i="2"/>
  <c r="F38" i="2" s="1"/>
  <c r="E36" i="2"/>
  <c r="E38" i="2" s="1"/>
  <c r="D36" i="2"/>
  <c r="D38" i="2" s="1"/>
  <c r="C36" i="2"/>
  <c r="C38" i="2" s="1"/>
  <c r="N35" i="2"/>
  <c r="B7" i="3" s="1"/>
  <c r="B36" i="2"/>
  <c r="N21" i="2"/>
  <c r="B5" i="3" s="1"/>
  <c r="N28" i="2"/>
  <c r="B6" i="3" s="1"/>
  <c r="N36" i="2" l="1"/>
  <c r="B8" i="3" s="1"/>
  <c r="B38" i="2"/>
  <c r="N38" i="2" s="1"/>
  <c r="B10" i="3" s="1"/>
</calcChain>
</file>

<file path=xl/sharedStrings.xml><?xml version="1.0" encoding="utf-8"?>
<sst xmlns="http://schemas.openxmlformats.org/spreadsheetml/2006/main" count="288" uniqueCount="157">
  <si>
    <t>ZENET · Catálogo de Costos Fase 0</t>
  </si>
  <si>
    <t>Declaración de todos los costos · valores hipótesis de doc 04 viabilidad económica + doc 01 operational readiness · ajustar con valores reales · Tipo de cambio ref ~$20 MXN/USD</t>
  </si>
  <si>
    <t>Categoría</t>
  </si>
  <si>
    <t>Concepto</t>
  </si>
  <si>
    <t>Descripción</t>
  </si>
  <si>
    <t>Tipo</t>
  </si>
  <si>
    <t>Frecuencia</t>
  </si>
  <si>
    <t>Costo MXN</t>
  </si>
  <si>
    <t>Costo USD</t>
  </si>
  <si>
    <t>Tier</t>
  </si>
  <si>
    <t>Status</t>
  </si>
  <si>
    <t>Notas</t>
  </si>
  <si>
    <t>Software infra</t>
  </si>
  <si>
    <t>Vercel</t>
  </si>
  <si>
    <t>Frontend hosting (Hobby free)</t>
  </si>
  <si>
    <t>Fijo</t>
  </si>
  <si>
    <t>Mensual</t>
  </si>
  <si>
    <t>Tier 1</t>
  </si>
  <si>
    <t>Activo</t>
  </si>
  <si>
    <t>Free cubre Phase 0 · Pro $20 USD al cruzar 100GB bandwidth</t>
  </si>
  <si>
    <t>Railway</t>
  </si>
  <si>
    <t>Backend hosting FastAPI (Hobby)</t>
  </si>
  <si>
    <t>$5 usage credits incluidos · sube con traffic</t>
  </si>
  <si>
    <t>Supabase</t>
  </si>
  <si>
    <t>DB + Auth + Storage (Free)</t>
  </si>
  <si>
    <t>Free cubre 5 clientes · Pro $25 USD al escalar</t>
  </si>
  <si>
    <t>Langfuse</t>
  </si>
  <si>
    <t>AI monitoring (Free)</t>
  </si>
  <si>
    <t>Free 50K obs · Hobby $26 USD al escalar</t>
  </si>
  <si>
    <t>Sentry</t>
  </si>
  <si>
    <t>Error tracking (Free)</t>
  </si>
  <si>
    <t>Free 5K errors · Team $26 USD al escalar</t>
  </si>
  <si>
    <t>PostHog</t>
  </si>
  <si>
    <t>Product analytics (Free)</t>
  </si>
  <si>
    <t>Free 1M events · Pro $100-300 USD al escalar</t>
  </si>
  <si>
    <t>GitHub</t>
  </si>
  <si>
    <t>Repo (Free Org)</t>
  </si>
  <si>
    <t>Sin branch protection enforcement</t>
  </si>
  <si>
    <t>Dominio zenet.mx</t>
  </si>
  <si>
    <t>Registro dominio</t>
  </si>
  <si>
    <t>Anual</t>
  </si>
  <si>
    <t>$300-500 MXN/año · amortizado mensual</t>
  </si>
  <si>
    <t>Founder dev tools</t>
  </si>
  <si>
    <t>Anthropic Max</t>
  </si>
  <si>
    <t>Plan personal dev + AI</t>
  </si>
  <si>
    <t>Dev + personal · NO es cliente API</t>
  </si>
  <si>
    <t>Figma</t>
  </si>
  <si>
    <t>Pro · diseño/UI</t>
  </si>
  <si>
    <t>Rango $300-600 MXN</t>
  </si>
  <si>
    <t>Notion</t>
  </si>
  <si>
    <t>Plus · workspace</t>
  </si>
  <si>
    <t>Adobe</t>
  </si>
  <si>
    <t>Creative Cloud · assets</t>
  </si>
  <si>
    <t>Google Workspace</t>
  </si>
  <si>
    <t>Email empresarial + collab</t>
  </si>
  <si>
    <t>Professional services</t>
  </si>
  <si>
    <t>Lawyer</t>
  </si>
  <si>
    <t>Engagement 6 meses (MSA+DPA+Adendum SF)</t>
  </si>
  <si>
    <t>Tier 2.0</t>
  </si>
  <si>
    <t>Pending</t>
  </si>
  <si>
    <t>20,400 MXN/6 meses · activa con LOI gate · NO incluye trámites</t>
  </si>
  <si>
    <t>Contador</t>
  </si>
  <si>
    <t>Despacho contable mensual</t>
  </si>
  <si>
    <t>Activa cuando primer cobro confirmado</t>
  </si>
  <si>
    <t>PAC CFDI</t>
  </si>
  <si>
    <t>Facturama/Konfio timbrado</t>
  </si>
  <si>
    <t>$200-500 MXN · activa con primer cobro</t>
  </si>
  <si>
    <t>Hardware</t>
  </si>
  <si>
    <t>MacBook Pro M4</t>
  </si>
  <si>
    <t>Upgrade desde 2019 Intel i7</t>
  </si>
  <si>
    <t>One-time</t>
  </si>
  <si>
    <t>One-time (amort 12m)</t>
  </si>
  <si>
    <t>$60-80K MXN amortizado 12 meses · decisión founder</t>
  </si>
  <si>
    <t>Setup one-time</t>
  </si>
  <si>
    <t>PFAE setup SAT</t>
  </si>
  <si>
    <t>RFC actividad empresarial</t>
  </si>
  <si>
    <t>$0-2K MXN · 1 día · cita SAT</t>
  </si>
  <si>
    <t>Cuenta bancaria</t>
  </si>
  <si>
    <t>Banco empresarial</t>
  </si>
  <si>
    <t>Gratis · ~1 semana</t>
  </si>
  <si>
    <t>IMPI marca</t>
  </si>
  <si>
    <t>Trademark registro 'Zenet'</t>
  </si>
  <si>
    <t>$3-5K MXN · 4-6 meses approval · protege desde filing</t>
  </si>
  <si>
    <t>Website básico</t>
  </si>
  <si>
    <t>Landing + Aviso Privacidad draft</t>
  </si>
  <si>
    <t>$0-3K MXN DIY (Webflow/Framer)</t>
  </si>
  <si>
    <t>Vendor variable</t>
  </si>
  <si>
    <t>Anthropic API</t>
  </si>
  <si>
    <t>LLM inference per cliente Esencial</t>
  </si>
  <si>
    <t>Variable</t>
  </si>
  <si>
    <t>Mensual/cliente</t>
  </si>
  <si>
    <t>$20-50 USD/cliente sin Capa 1 · -50% con prompt caching</t>
  </si>
  <si>
    <t>WhatsApp Business API</t>
  </si>
  <si>
    <t>Messaging per cliente</t>
  </si>
  <si>
    <t>Tier 1.5</t>
  </si>
  <si>
    <t>$5-15 USD/cliente · provider Meta direct TBD</t>
  </si>
  <si>
    <t>Supabase compute</t>
  </si>
  <si>
    <t>DB compute scaling per cliente</t>
  </si>
  <si>
    <t>Free tier Phase 0 · $1-5 USD al escalar</t>
  </si>
  <si>
    <t>PAC per timbre</t>
  </si>
  <si>
    <t>CFDI generation per cliente</t>
  </si>
  <si>
    <t>$1-3 USD/cliente</t>
  </si>
  <si>
    <t>Stripe/Conekta fee</t>
  </si>
  <si>
    <t>Payment processing ~3% revenue</t>
  </si>
  <si>
    <t>Per transacción</t>
  </si>
  <si>
    <t>2.9-3.6% del cobro</t>
  </si>
  <si>
    <t>ZENET · Tracking Mensual de Costos Fase 0 (MXN)</t>
  </si>
  <si>
    <t>Llenar con valores REALES cada mes · fijos activos pre-poblados (baseline) · variables/one-time se llenan cuando ocurren · totales automáticos</t>
  </si>
  <si>
    <t>Jun 2026</t>
  </si>
  <si>
    <t>Jul 2026</t>
  </si>
  <si>
    <t>Ago 2026</t>
  </si>
  <si>
    <t>Sep 2026</t>
  </si>
  <si>
    <t>Oct 2026</t>
  </si>
  <si>
    <t>Nov 2026</t>
  </si>
  <si>
    <t>Dic 2026</t>
  </si>
  <si>
    <t>Ene 2027</t>
  </si>
  <si>
    <t>Feb 2027</t>
  </si>
  <si>
    <t>Mar 2027</t>
  </si>
  <si>
    <t>Abr 2027</t>
  </si>
  <si>
    <t>May 2027</t>
  </si>
  <si>
    <t>TOTAL</t>
  </si>
  <si>
    <t>COSTOS FIJOS</t>
  </si>
  <si>
    <t>Dominio (amort.)</t>
  </si>
  <si>
    <t>Lawyer (amort. 6m)</t>
  </si>
  <si>
    <t>Subtotal Fijos</t>
  </si>
  <si>
    <t>COSTOS VARIABLES (por cliente)</t>
  </si>
  <si>
    <t>Anthropic API (clientes)</t>
  </si>
  <si>
    <t>WhatsApp Business (clientes)</t>
  </si>
  <si>
    <t>Supabase compute (clientes)</t>
  </si>
  <si>
    <t>PAC timbre (clientes)</t>
  </si>
  <si>
    <t>Subtotal Variables</t>
  </si>
  <si>
    <t>COSTOS ONE-TIME</t>
  </si>
  <si>
    <t>Subtotal One-time</t>
  </si>
  <si>
    <t>TOTAL COSTOS / MES</t>
  </si>
  <si>
    <t>Revenue / mes (llenar)</t>
  </si>
  <si>
    <t>NET BURN / MES (Revenue - Costos)</t>
  </si>
  <si>
    <t>ZENET · Dashboard Resumen Costos Fase 0</t>
  </si>
  <si>
    <t>Resumen automático desde Tracking Mensual · ajustar selección de mes según necesidad</t>
  </si>
  <si>
    <t>Métrica</t>
  </si>
  <si>
    <t>Valor</t>
  </si>
  <si>
    <t>Costos Fijos (12m)</t>
  </si>
  <si>
    <t>Costos Variables (12m)</t>
  </si>
  <si>
    <t>Costos One-time (12m)</t>
  </si>
  <si>
    <t>TOTAL Costos (12m)</t>
  </si>
  <si>
    <t>Revenue (12m)</t>
  </si>
  <si>
    <t>NET BURN acumulado (12m)</t>
  </si>
  <si>
    <t>Baseline fijo mensual (Jun 2026)</t>
  </si>
  <si>
    <t>Notas Dashboard</t>
  </si>
  <si>
    <t>· Fijos baseline Phase 0 ~$3,960 MXN/mes (founder tools + Railway + dominio · resto free tier).</t>
  </si>
  <si>
    <t>· Lawyer/Contador/PAC activan en Tier 2.0 (LOI gate · primer cobro confirmado).</t>
  </si>
  <si>
    <t>· Variables crecen con # clientes · Anthropic dominante (-50% con prompt caching Capa 1).</t>
  </si>
  <si>
    <t>· One-time (MacBook · IMPI · PFAE · website) se registran en el mes que ocurren.</t>
  </si>
  <si>
    <t>· Founder time opportunity cost NO incluido (no es cash · ~$40-80K MXN/mes equivalente).</t>
  </si>
  <si>
    <t>· Trigger upgrade a financial model formal: 3+ design partners Mes 3+ (cf. 02-financial-model scaffold).</t>
  </si>
  <si>
    <t xml:space="preserve">Free Tier  </t>
  </si>
  <si>
    <t>MacBook Pro M5 (amort.)</t>
  </si>
  <si>
    <t>admin@zenetapp.com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</si>
</sst>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MXN&quot;"/>
    <numFmt numFmtId="165" formatCode="#,##0\ &quot;USD&quot;"/>
  </numFmts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9"/>
      <color rgb="FF555555"/>
      <name val="Calibri"/>
      <family val="2"/>
    </font>
    <font>
      <b/>
      <sz val="11"/>
      <color rgb="FFFFFFFF"/>
      <name val="Calibri"/>
      <family val="2"/>
    </font>
    <font>
      <b/>
      <sz val="11"/>
      <color rgb="FF2E7D32"/>
      <name val="Calibri"/>
      <family val="2"/>
    </font>
    <font>
      <sz val="11"/>
      <color rgb="FFB07000"/>
      <name val="Calibri"/>
      <family val="2"/>
    </font>
    <font>
      <b/>
      <sz val="11"/>
      <name val="Calibri"/>
      <family val="2"/>
    </font>
    <font>
      <b/>
      <sz val="11"/>
      <color rgb="FFC0392B"/>
      <name val="Calibri"/>
      <family val="2"/>
    </font>
    <font>
      <b/>
      <sz val="11"/>
      <color rgb="FFC0392B"/>
      <name val="Calibri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2E5C8A"/>
      </patternFill>
    </fill>
    <fill>
      <patternFill patternType="solid">
        <fgColor rgb="FFD6E8D4"/>
      </patternFill>
    </fill>
    <fill>
      <patternFill patternType="solid">
        <fgColor rgb="FFF4E1B5"/>
      </patternFill>
    </fill>
    <fill>
      <patternFill patternType="solid">
        <fgColor rgb="FFEAEEF2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0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0" fontId="0" fillId="4" borderId="1" xfId="0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 wrapText="1"/>
    </xf>
    <xf numFmtId="164" fontId="6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 wrapText="1"/>
    </xf>
    <xf numFmtId="164" fontId="0" fillId="4" borderId="1" xfId="0" applyNumberFormat="1" applyFill="1" applyBorder="1" applyAlignment="1">
      <alignment horizontal="right" vertical="center"/>
    </xf>
    <xf numFmtId="164" fontId="6" fillId="4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left" vertical="center" wrapText="1"/>
    </xf>
    <xf numFmtId="164" fontId="7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164" fontId="0" fillId="5" borderId="1" xfId="0" applyNumberFormat="1" applyFill="1" applyBorder="1" applyAlignment="1">
      <alignment horizontal="right" vertical="center"/>
    </xf>
    <xf numFmtId="0" fontId="8" fillId="0" borderId="1" xfId="0" applyFont="1" applyBorder="1" applyAlignment="1">
      <alignment horizontal="left" vertical="center" wrapText="1"/>
    </xf>
    <xf numFmtId="164" fontId="8" fillId="0" borderId="1" xfId="0" applyNumberFormat="1" applyFont="1" applyBorder="1" applyAlignment="1">
      <alignment horizontal="right" vertical="center"/>
    </xf>
    <xf numFmtId="0" fontId="6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0" fillId="0" borderId="1" xfId="0" applyBorder="1"/>
    <xf numFmtId="0" fontId="9" fillId="0" borderId="1" xfId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zenetap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showGridLines="0" workbookViewId="0">
      <pane ySplit="4" topLeftCell="A5" activePane="bottomLeft" state="frozen"/>
      <selection pane="bottomLeft" activeCell="C46" sqref="C46"/>
    </sheetView>
  </sheetViews>
  <sheetFormatPr baseColWidth="10" defaultColWidth="8.83203125" defaultRowHeight="15" x14ac:dyDescent="0.2"/>
  <cols>
    <col min="1" max="1" width="20" customWidth="1"/>
    <col min="2" max="2" width="22" customWidth="1"/>
    <col min="3" max="3" width="40" customWidth="1"/>
    <col min="4" max="4" width="16" customWidth="1"/>
    <col min="5" max="5" width="18" customWidth="1"/>
    <col min="6" max="7" width="12" customWidth="1"/>
    <col min="8" max="9" width="10" customWidth="1"/>
    <col min="10" max="10" width="46" customWidth="1"/>
  </cols>
  <sheetData>
    <row r="1" spans="1:10" ht="24" customHeight="1" x14ac:dyDescent="0.2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x14ac:dyDescent="0.2">
      <c r="A2" s="26" t="s">
        <v>1</v>
      </c>
      <c r="B2" s="25"/>
      <c r="C2" s="25"/>
      <c r="D2" s="25"/>
      <c r="E2" s="25"/>
      <c r="F2" s="25"/>
      <c r="G2" s="25"/>
      <c r="H2" s="25"/>
      <c r="I2" s="25"/>
      <c r="J2" s="25"/>
    </row>
    <row r="4" spans="1:10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32" x14ac:dyDescent="0.2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3">
        <v>0</v>
      </c>
      <c r="G5" s="4">
        <v>0</v>
      </c>
      <c r="H5" s="5" t="s">
        <v>17</v>
      </c>
      <c r="I5" s="6" t="s">
        <v>18</v>
      </c>
      <c r="J5" s="2" t="s">
        <v>19</v>
      </c>
    </row>
    <row r="6" spans="1:10" ht="16" x14ac:dyDescent="0.2">
      <c r="A6" s="2" t="s">
        <v>12</v>
      </c>
      <c r="B6" s="2" t="s">
        <v>20</v>
      </c>
      <c r="C6" s="2" t="s">
        <v>21</v>
      </c>
      <c r="D6" s="2" t="s">
        <v>15</v>
      </c>
      <c r="E6" s="2" t="s">
        <v>16</v>
      </c>
      <c r="F6" s="3">
        <v>100</v>
      </c>
      <c r="G6" s="4">
        <v>5</v>
      </c>
      <c r="H6" s="5" t="s">
        <v>17</v>
      </c>
      <c r="I6" s="6" t="s">
        <v>18</v>
      </c>
      <c r="J6" s="2" t="s">
        <v>22</v>
      </c>
    </row>
    <row r="7" spans="1:10" ht="16" x14ac:dyDescent="0.2">
      <c r="A7" s="2" t="s">
        <v>12</v>
      </c>
      <c r="B7" s="2" t="s">
        <v>23</v>
      </c>
      <c r="C7" s="2" t="s">
        <v>24</v>
      </c>
      <c r="D7" s="2" t="s">
        <v>15</v>
      </c>
      <c r="E7" s="2" t="s">
        <v>16</v>
      </c>
      <c r="F7" s="3">
        <v>0</v>
      </c>
      <c r="G7" s="4">
        <v>0</v>
      </c>
      <c r="H7" s="5" t="s">
        <v>17</v>
      </c>
      <c r="I7" s="6" t="s">
        <v>18</v>
      </c>
      <c r="J7" s="2" t="s">
        <v>25</v>
      </c>
    </row>
    <row r="8" spans="1:10" ht="16" x14ac:dyDescent="0.2">
      <c r="A8" s="2" t="s">
        <v>12</v>
      </c>
      <c r="B8" s="2" t="s">
        <v>26</v>
      </c>
      <c r="C8" s="2" t="s">
        <v>27</v>
      </c>
      <c r="D8" s="2" t="s">
        <v>15</v>
      </c>
      <c r="E8" s="2" t="s">
        <v>16</v>
      </c>
      <c r="F8" s="3">
        <v>0</v>
      </c>
      <c r="G8" s="4">
        <v>0</v>
      </c>
      <c r="H8" s="5" t="s">
        <v>17</v>
      </c>
      <c r="I8" s="6" t="s">
        <v>18</v>
      </c>
      <c r="J8" s="2" t="s">
        <v>28</v>
      </c>
    </row>
    <row r="9" spans="1:10" ht="16" x14ac:dyDescent="0.2">
      <c r="A9" s="2" t="s">
        <v>12</v>
      </c>
      <c r="B9" s="2" t="s">
        <v>29</v>
      </c>
      <c r="C9" s="2" t="s">
        <v>30</v>
      </c>
      <c r="D9" s="2" t="s">
        <v>15</v>
      </c>
      <c r="E9" s="2" t="s">
        <v>16</v>
      </c>
      <c r="F9" s="3">
        <v>0</v>
      </c>
      <c r="G9" s="4">
        <v>0</v>
      </c>
      <c r="H9" s="5" t="s">
        <v>17</v>
      </c>
      <c r="I9" s="6" t="s">
        <v>18</v>
      </c>
      <c r="J9" s="2" t="s">
        <v>31</v>
      </c>
    </row>
    <row r="10" spans="1:10" ht="16" x14ac:dyDescent="0.2">
      <c r="A10" s="2" t="s">
        <v>12</v>
      </c>
      <c r="B10" s="2" t="s">
        <v>32</v>
      </c>
      <c r="C10" s="2" t="s">
        <v>33</v>
      </c>
      <c r="D10" s="2" t="s">
        <v>15</v>
      </c>
      <c r="E10" s="2" t="s">
        <v>16</v>
      </c>
      <c r="F10" s="3">
        <v>0</v>
      </c>
      <c r="G10" s="4">
        <v>0</v>
      </c>
      <c r="H10" s="5" t="s">
        <v>17</v>
      </c>
      <c r="I10" s="6" t="s">
        <v>18</v>
      </c>
      <c r="J10" s="2" t="s">
        <v>34</v>
      </c>
    </row>
    <row r="11" spans="1:10" ht="16" x14ac:dyDescent="0.2">
      <c r="A11" s="2" t="s">
        <v>12</v>
      </c>
      <c r="B11" s="2" t="s">
        <v>35</v>
      </c>
      <c r="C11" s="2" t="s">
        <v>36</v>
      </c>
      <c r="D11" s="2" t="s">
        <v>15</v>
      </c>
      <c r="E11" s="2" t="s">
        <v>16</v>
      </c>
      <c r="F11" s="3">
        <v>0</v>
      </c>
      <c r="G11" s="4">
        <v>0</v>
      </c>
      <c r="H11" s="5" t="s">
        <v>17</v>
      </c>
      <c r="I11" s="6" t="s">
        <v>18</v>
      </c>
      <c r="J11" s="2" t="s">
        <v>37</v>
      </c>
    </row>
    <row r="12" spans="1:10" ht="16" x14ac:dyDescent="0.2">
      <c r="A12" s="2" t="s">
        <v>12</v>
      </c>
      <c r="B12" s="2" t="s">
        <v>38</v>
      </c>
      <c r="C12" s="2" t="s">
        <v>39</v>
      </c>
      <c r="D12" s="2" t="s">
        <v>15</v>
      </c>
      <c r="E12" s="2" t="s">
        <v>40</v>
      </c>
      <c r="F12" s="3">
        <v>40</v>
      </c>
      <c r="G12" s="4">
        <v>2</v>
      </c>
      <c r="H12" s="5" t="s">
        <v>17</v>
      </c>
      <c r="I12" s="6" t="s">
        <v>18</v>
      </c>
      <c r="J12" s="2" t="s">
        <v>41</v>
      </c>
    </row>
    <row r="13" spans="1:10" ht="16" x14ac:dyDescent="0.2">
      <c r="A13" s="2" t="s">
        <v>42</v>
      </c>
      <c r="B13" s="2" t="s">
        <v>43</v>
      </c>
      <c r="C13" s="2" t="s">
        <v>44</v>
      </c>
      <c r="D13" s="2" t="s">
        <v>15</v>
      </c>
      <c r="E13" s="2" t="s">
        <v>16</v>
      </c>
      <c r="F13" s="3">
        <v>2000</v>
      </c>
      <c r="G13" s="4">
        <v>100</v>
      </c>
      <c r="H13" s="5" t="s">
        <v>17</v>
      </c>
      <c r="I13" s="6" t="s">
        <v>18</v>
      </c>
      <c r="J13" s="2" t="s">
        <v>45</v>
      </c>
    </row>
    <row r="14" spans="1:10" ht="16" x14ac:dyDescent="0.2">
      <c r="A14" s="2" t="s">
        <v>42</v>
      </c>
      <c r="B14" s="2" t="s">
        <v>46</v>
      </c>
      <c r="C14" s="2" t="s">
        <v>47</v>
      </c>
      <c r="D14" s="2" t="s">
        <v>15</v>
      </c>
      <c r="E14" s="2" t="s">
        <v>16</v>
      </c>
      <c r="F14" s="3">
        <v>400</v>
      </c>
      <c r="G14" s="4">
        <v>20</v>
      </c>
      <c r="H14" s="5" t="s">
        <v>17</v>
      </c>
      <c r="I14" s="8" t="s">
        <v>59</v>
      </c>
      <c r="J14" s="2" t="s">
        <v>48</v>
      </c>
    </row>
    <row r="15" spans="1:10" ht="16" x14ac:dyDescent="0.2">
      <c r="A15" s="2" t="s">
        <v>42</v>
      </c>
      <c r="B15" s="2" t="s">
        <v>49</v>
      </c>
      <c r="C15" s="2" t="s">
        <v>50</v>
      </c>
      <c r="D15" s="2" t="s">
        <v>15</v>
      </c>
      <c r="E15" s="2" t="s">
        <v>16</v>
      </c>
      <c r="F15" s="3">
        <v>200</v>
      </c>
      <c r="G15" s="4">
        <v>10</v>
      </c>
      <c r="H15" s="5" t="s">
        <v>17</v>
      </c>
      <c r="I15" s="6" t="s">
        <v>18</v>
      </c>
      <c r="J15" s="2" t="s">
        <v>154</v>
      </c>
    </row>
    <row r="16" spans="1:10" ht="16" x14ac:dyDescent="0.2">
      <c r="A16" s="2" t="s">
        <v>42</v>
      </c>
      <c r="B16" s="2" t="s">
        <v>51</v>
      </c>
      <c r="C16" s="2" t="s">
        <v>52</v>
      </c>
      <c r="D16" s="2" t="s">
        <v>15</v>
      </c>
      <c r="E16" s="2" t="s">
        <v>16</v>
      </c>
      <c r="F16" s="3">
        <v>1100</v>
      </c>
      <c r="G16" s="4">
        <v>55</v>
      </c>
      <c r="H16" s="5" t="s">
        <v>17</v>
      </c>
      <c r="I16" s="8" t="s">
        <v>59</v>
      </c>
      <c r="J16" s="2"/>
    </row>
    <row r="17" spans="1:10" ht="16" x14ac:dyDescent="0.2">
      <c r="A17" s="2" t="s">
        <v>42</v>
      </c>
      <c r="B17" s="2" t="s">
        <v>53</v>
      </c>
      <c r="C17" s="2" t="s">
        <v>54</v>
      </c>
      <c r="D17" s="2" t="s">
        <v>15</v>
      </c>
      <c r="E17" s="2" t="s">
        <v>16</v>
      </c>
      <c r="F17" s="3">
        <v>120</v>
      </c>
      <c r="G17" s="4">
        <v>6</v>
      </c>
      <c r="H17" s="5" t="s">
        <v>17</v>
      </c>
      <c r="I17" s="8" t="s">
        <v>59</v>
      </c>
      <c r="J17" s="29" t="s">
        <v>156</v>
      </c>
    </row>
    <row r="18" spans="1:10" ht="32" x14ac:dyDescent="0.2">
      <c r="A18" s="2" t="s">
        <v>55</v>
      </c>
      <c r="B18" s="2" t="s">
        <v>56</v>
      </c>
      <c r="C18" s="2" t="s">
        <v>57</v>
      </c>
      <c r="D18" s="2" t="s">
        <v>15</v>
      </c>
      <c r="E18" s="2" t="s">
        <v>16</v>
      </c>
      <c r="F18" s="3">
        <v>3400</v>
      </c>
      <c r="G18" s="4">
        <v>170</v>
      </c>
      <c r="H18" s="7" t="s">
        <v>58</v>
      </c>
      <c r="I18" s="8" t="s">
        <v>59</v>
      </c>
      <c r="J18" s="2" t="s">
        <v>60</v>
      </c>
    </row>
    <row r="19" spans="1:10" ht="16" x14ac:dyDescent="0.2">
      <c r="A19" s="2" t="s">
        <v>55</v>
      </c>
      <c r="B19" s="2" t="s">
        <v>61</v>
      </c>
      <c r="C19" s="2" t="s">
        <v>62</v>
      </c>
      <c r="D19" s="2" t="s">
        <v>15</v>
      </c>
      <c r="E19" s="2" t="s">
        <v>16</v>
      </c>
      <c r="F19" s="3">
        <v>500</v>
      </c>
      <c r="G19" s="4">
        <v>25</v>
      </c>
      <c r="H19" s="7" t="s">
        <v>58</v>
      </c>
      <c r="I19" s="8" t="s">
        <v>59</v>
      </c>
      <c r="J19" s="2" t="s">
        <v>63</v>
      </c>
    </row>
    <row r="20" spans="1:10" ht="16" x14ac:dyDescent="0.2">
      <c r="A20" s="2" t="s">
        <v>55</v>
      </c>
      <c r="B20" s="2" t="s">
        <v>64</v>
      </c>
      <c r="C20" s="2" t="s">
        <v>65</v>
      </c>
      <c r="D20" s="2" t="s">
        <v>15</v>
      </c>
      <c r="E20" s="2" t="s">
        <v>16</v>
      </c>
      <c r="F20" s="3">
        <v>350</v>
      </c>
      <c r="G20" s="4">
        <v>18</v>
      </c>
      <c r="H20" s="7" t="s">
        <v>58</v>
      </c>
      <c r="I20" s="8" t="s">
        <v>59</v>
      </c>
      <c r="J20" s="2" t="s">
        <v>66</v>
      </c>
    </row>
    <row r="21" spans="1:10" ht="32" x14ac:dyDescent="0.2">
      <c r="A21" s="2" t="s">
        <v>67</v>
      </c>
      <c r="B21" s="2" t="s">
        <v>68</v>
      </c>
      <c r="C21" s="2" t="s">
        <v>69</v>
      </c>
      <c r="D21" s="2" t="s">
        <v>70</v>
      </c>
      <c r="E21" s="2" t="s">
        <v>71</v>
      </c>
      <c r="F21" s="3">
        <v>6000</v>
      </c>
      <c r="G21" s="4">
        <v>300</v>
      </c>
      <c r="H21" s="5" t="s">
        <v>17</v>
      </c>
      <c r="I21" s="8" t="s">
        <v>59</v>
      </c>
      <c r="J21" s="2" t="s">
        <v>72</v>
      </c>
    </row>
    <row r="22" spans="1:10" ht="16" x14ac:dyDescent="0.2">
      <c r="A22" s="2" t="s">
        <v>73</v>
      </c>
      <c r="B22" s="2" t="s">
        <v>74</v>
      </c>
      <c r="C22" s="2" t="s">
        <v>75</v>
      </c>
      <c r="D22" s="2" t="s">
        <v>70</v>
      </c>
      <c r="E22" s="2" t="s">
        <v>70</v>
      </c>
      <c r="F22" s="3">
        <v>1000</v>
      </c>
      <c r="G22" s="4">
        <v>50</v>
      </c>
      <c r="H22" s="5" t="s">
        <v>17</v>
      </c>
      <c r="I22" s="8" t="s">
        <v>59</v>
      </c>
      <c r="J22" s="2" t="s">
        <v>76</v>
      </c>
    </row>
    <row r="23" spans="1:10" ht="16" x14ac:dyDescent="0.2">
      <c r="A23" s="2" t="s">
        <v>73</v>
      </c>
      <c r="B23" s="2" t="s">
        <v>77</v>
      </c>
      <c r="C23" s="2" t="s">
        <v>78</v>
      </c>
      <c r="D23" s="2" t="s">
        <v>70</v>
      </c>
      <c r="E23" s="2" t="s">
        <v>70</v>
      </c>
      <c r="F23" s="3">
        <v>0</v>
      </c>
      <c r="G23" s="4">
        <v>0</v>
      </c>
      <c r="H23" s="5" t="s">
        <v>17</v>
      </c>
      <c r="I23" s="8" t="s">
        <v>59</v>
      </c>
      <c r="J23" s="2" t="s">
        <v>79</v>
      </c>
    </row>
    <row r="24" spans="1:10" ht="16" x14ac:dyDescent="0.2">
      <c r="A24" s="2" t="s">
        <v>73</v>
      </c>
      <c r="B24" s="2" t="s">
        <v>80</v>
      </c>
      <c r="C24" s="2" t="s">
        <v>81</v>
      </c>
      <c r="D24" s="2" t="s">
        <v>70</v>
      </c>
      <c r="E24" s="2" t="s">
        <v>70</v>
      </c>
      <c r="F24" s="3">
        <v>4000</v>
      </c>
      <c r="G24" s="4">
        <v>200</v>
      </c>
      <c r="H24" s="5" t="s">
        <v>17</v>
      </c>
      <c r="I24" s="8" t="s">
        <v>59</v>
      </c>
      <c r="J24" s="2" t="s">
        <v>82</v>
      </c>
    </row>
    <row r="25" spans="1:10" ht="16" x14ac:dyDescent="0.2">
      <c r="A25" s="2" t="s">
        <v>73</v>
      </c>
      <c r="B25" s="2" t="s">
        <v>83</v>
      </c>
      <c r="C25" s="2" t="s">
        <v>84</v>
      </c>
      <c r="D25" s="2" t="s">
        <v>70</v>
      </c>
      <c r="E25" s="2" t="s">
        <v>70</v>
      </c>
      <c r="F25" s="3">
        <v>1500</v>
      </c>
      <c r="G25" s="4">
        <v>75</v>
      </c>
      <c r="H25" s="5" t="s">
        <v>17</v>
      </c>
      <c r="I25" s="8" t="s">
        <v>59</v>
      </c>
      <c r="J25" s="2" t="s">
        <v>85</v>
      </c>
    </row>
    <row r="26" spans="1:10" ht="16" x14ac:dyDescent="0.2">
      <c r="A26" s="2" t="s">
        <v>86</v>
      </c>
      <c r="B26" s="2" t="s">
        <v>87</v>
      </c>
      <c r="C26" s="2" t="s">
        <v>88</v>
      </c>
      <c r="D26" s="2" t="s">
        <v>89</v>
      </c>
      <c r="E26" s="2" t="s">
        <v>90</v>
      </c>
      <c r="F26" s="3">
        <v>700</v>
      </c>
      <c r="G26" s="4">
        <v>35</v>
      </c>
      <c r="H26" s="7" t="s">
        <v>58</v>
      </c>
      <c r="I26" s="8" t="s">
        <v>59</v>
      </c>
      <c r="J26" s="2" t="s">
        <v>91</v>
      </c>
    </row>
    <row r="27" spans="1:10" ht="16" x14ac:dyDescent="0.2">
      <c r="A27" s="2" t="s">
        <v>86</v>
      </c>
      <c r="B27" s="2" t="s">
        <v>92</v>
      </c>
      <c r="C27" s="2" t="s">
        <v>93</v>
      </c>
      <c r="D27" s="2" t="s">
        <v>89</v>
      </c>
      <c r="E27" s="2" t="s">
        <v>90</v>
      </c>
      <c r="F27" s="3">
        <v>200</v>
      </c>
      <c r="G27" s="4">
        <v>10</v>
      </c>
      <c r="H27" s="5" t="s">
        <v>94</v>
      </c>
      <c r="I27" s="8" t="s">
        <v>59</v>
      </c>
      <c r="J27" s="2" t="s">
        <v>95</v>
      </c>
    </row>
    <row r="28" spans="1:10" ht="16" x14ac:dyDescent="0.2">
      <c r="A28" s="2" t="s">
        <v>86</v>
      </c>
      <c r="B28" s="2" t="s">
        <v>96</v>
      </c>
      <c r="C28" s="2" t="s">
        <v>97</v>
      </c>
      <c r="D28" s="2" t="s">
        <v>89</v>
      </c>
      <c r="E28" s="2" t="s">
        <v>90</v>
      </c>
      <c r="F28" s="3">
        <v>0</v>
      </c>
      <c r="G28" s="4">
        <v>0</v>
      </c>
      <c r="H28" s="5" t="s">
        <v>17</v>
      </c>
      <c r="I28" s="6" t="s">
        <v>18</v>
      </c>
      <c r="J28" s="2" t="s">
        <v>98</v>
      </c>
    </row>
    <row r="29" spans="1:10" ht="16" x14ac:dyDescent="0.2">
      <c r="A29" s="2" t="s">
        <v>86</v>
      </c>
      <c r="B29" s="2" t="s">
        <v>99</v>
      </c>
      <c r="C29" s="2" t="s">
        <v>100</v>
      </c>
      <c r="D29" s="2" t="s">
        <v>89</v>
      </c>
      <c r="E29" s="2" t="s">
        <v>90</v>
      </c>
      <c r="F29" s="3">
        <v>40</v>
      </c>
      <c r="G29" s="4">
        <v>2</v>
      </c>
      <c r="H29" s="7" t="s">
        <v>58</v>
      </c>
      <c r="I29" s="8" t="s">
        <v>59</v>
      </c>
      <c r="J29" s="2" t="s">
        <v>101</v>
      </c>
    </row>
    <row r="30" spans="1:10" ht="16" x14ac:dyDescent="0.2">
      <c r="A30" s="2" t="s">
        <v>86</v>
      </c>
      <c r="B30" s="2" t="s">
        <v>102</v>
      </c>
      <c r="C30" s="2" t="s">
        <v>103</v>
      </c>
      <c r="D30" s="2" t="s">
        <v>89</v>
      </c>
      <c r="E30" s="2" t="s">
        <v>104</v>
      </c>
      <c r="F30" s="3">
        <v>90</v>
      </c>
      <c r="G30" s="4">
        <v>4</v>
      </c>
      <c r="H30" s="7" t="s">
        <v>58</v>
      </c>
      <c r="I30" s="8" t="s">
        <v>59</v>
      </c>
      <c r="J30" s="2" t="s">
        <v>105</v>
      </c>
    </row>
  </sheetData>
  <mergeCells count="2">
    <mergeCell ref="A1:J1"/>
    <mergeCell ref="A2:J2"/>
  </mergeCells>
  <hyperlinks>
    <hyperlink ref="J17" r:id="rId1" xr:uid="{CB5419F8-BCF8-5E4D-B925-5FE278393924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8"/>
  <sheetViews>
    <sheetView showGridLines="0" tabSelected="1" workbookViewId="0">
      <pane xSplit="1" ySplit="3" topLeftCell="B4" activePane="bottomRight" state="frozen"/>
      <selection pane="topRight"/>
      <selection pane="bottomLeft"/>
      <selection pane="bottomRight" activeCell="J47" sqref="J47"/>
    </sheetView>
  </sheetViews>
  <sheetFormatPr baseColWidth="10" defaultColWidth="8.83203125" defaultRowHeight="15" x14ac:dyDescent="0.2"/>
  <cols>
    <col min="1" max="1" width="30" customWidth="1"/>
    <col min="2" max="14" width="12" customWidth="1"/>
  </cols>
  <sheetData>
    <row r="1" spans="1:14" ht="24" customHeight="1" x14ac:dyDescent="0.2">
      <c r="A1" s="24" t="s">
        <v>106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x14ac:dyDescent="0.2">
      <c r="A2" s="26" t="s">
        <v>107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x14ac:dyDescent="0.2">
      <c r="A3" s="1" t="s">
        <v>3</v>
      </c>
      <c r="B3" s="1" t="s">
        <v>108</v>
      </c>
      <c r="C3" s="1" t="s">
        <v>109</v>
      </c>
      <c r="D3" s="1" t="s">
        <v>110</v>
      </c>
      <c r="E3" s="1" t="s">
        <v>111</v>
      </c>
      <c r="F3" s="1" t="s">
        <v>112</v>
      </c>
      <c r="G3" s="1" t="s">
        <v>113</v>
      </c>
      <c r="H3" s="1" t="s">
        <v>114</v>
      </c>
      <c r="I3" s="1" t="s">
        <v>115</v>
      </c>
      <c r="J3" s="1" t="s">
        <v>116</v>
      </c>
      <c r="K3" s="1" t="s">
        <v>117</v>
      </c>
      <c r="L3" s="1" t="s">
        <v>118</v>
      </c>
      <c r="M3" s="1" t="s">
        <v>119</v>
      </c>
      <c r="N3" s="1" t="s">
        <v>120</v>
      </c>
    </row>
    <row r="4" spans="1:14" x14ac:dyDescent="0.2">
      <c r="A4" s="27" t="s">
        <v>121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ht="16" x14ac:dyDescent="0.2">
      <c r="A5" s="2" t="s">
        <v>13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9">
        <f t="shared" ref="N5:N21" si="0">SUM(B5:M5)</f>
        <v>0</v>
      </c>
    </row>
    <row r="6" spans="1:14" ht="16" x14ac:dyDescent="0.2">
      <c r="A6" s="2" t="s">
        <v>20</v>
      </c>
      <c r="B6" s="3">
        <v>100</v>
      </c>
      <c r="C6" s="3">
        <v>100</v>
      </c>
      <c r="D6" s="3">
        <v>100</v>
      </c>
      <c r="E6" s="3">
        <v>100</v>
      </c>
      <c r="F6" s="3">
        <v>100</v>
      </c>
      <c r="G6" s="3">
        <v>100</v>
      </c>
      <c r="H6" s="3">
        <v>100</v>
      </c>
      <c r="I6" s="3">
        <v>100</v>
      </c>
      <c r="J6" s="3">
        <v>100</v>
      </c>
      <c r="K6" s="3">
        <v>100</v>
      </c>
      <c r="L6" s="3">
        <v>100</v>
      </c>
      <c r="M6" s="3">
        <v>100</v>
      </c>
      <c r="N6" s="9">
        <f t="shared" si="0"/>
        <v>1200</v>
      </c>
    </row>
    <row r="7" spans="1:14" ht="16" x14ac:dyDescent="0.2">
      <c r="A7" s="2" t="s">
        <v>23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9">
        <f t="shared" si="0"/>
        <v>0</v>
      </c>
    </row>
    <row r="8" spans="1:14" ht="16" x14ac:dyDescent="0.2">
      <c r="A8" s="2" t="s">
        <v>26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9">
        <f t="shared" si="0"/>
        <v>0</v>
      </c>
    </row>
    <row r="9" spans="1:14" ht="16" x14ac:dyDescent="0.2">
      <c r="A9" s="2" t="s">
        <v>29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9">
        <f t="shared" si="0"/>
        <v>0</v>
      </c>
    </row>
    <row r="10" spans="1:14" ht="16" x14ac:dyDescent="0.2">
      <c r="A10" s="2" t="s">
        <v>32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9">
        <f t="shared" si="0"/>
        <v>0</v>
      </c>
    </row>
    <row r="11" spans="1:14" ht="16" x14ac:dyDescent="0.2">
      <c r="A11" s="2" t="s">
        <v>35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9">
        <f t="shared" si="0"/>
        <v>0</v>
      </c>
    </row>
    <row r="12" spans="1:14" ht="16" x14ac:dyDescent="0.2">
      <c r="A12" s="2" t="s">
        <v>122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9">
        <f t="shared" si="0"/>
        <v>0</v>
      </c>
    </row>
    <row r="13" spans="1:14" ht="16" x14ac:dyDescent="0.2">
      <c r="A13" s="2" t="s">
        <v>43</v>
      </c>
      <c r="B13" s="3">
        <v>2000</v>
      </c>
      <c r="C13" s="3">
        <v>2000</v>
      </c>
      <c r="D13" s="3">
        <v>2000</v>
      </c>
      <c r="E13" s="3">
        <v>2000</v>
      </c>
      <c r="F13" s="3">
        <v>2000</v>
      </c>
      <c r="G13" s="3">
        <v>2000</v>
      </c>
      <c r="H13" s="3">
        <v>2000</v>
      </c>
      <c r="I13" s="3">
        <v>2000</v>
      </c>
      <c r="J13" s="3">
        <v>2000</v>
      </c>
      <c r="K13" s="3">
        <v>2000</v>
      </c>
      <c r="L13" s="3">
        <v>2000</v>
      </c>
      <c r="M13" s="3">
        <v>2000</v>
      </c>
      <c r="N13" s="9">
        <f t="shared" si="0"/>
        <v>24000</v>
      </c>
    </row>
    <row r="14" spans="1:14" ht="16" x14ac:dyDescent="0.2">
      <c r="A14" s="2" t="s">
        <v>46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9">
        <f t="shared" si="0"/>
        <v>0</v>
      </c>
    </row>
    <row r="15" spans="1:14" ht="16" x14ac:dyDescent="0.2">
      <c r="A15" s="2" t="s">
        <v>49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9">
        <f t="shared" si="0"/>
        <v>0</v>
      </c>
    </row>
    <row r="16" spans="1:14" ht="16" x14ac:dyDescent="0.2">
      <c r="A16" s="2" t="s">
        <v>51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9">
        <f t="shared" si="0"/>
        <v>0</v>
      </c>
    </row>
    <row r="17" spans="1:14" ht="16" x14ac:dyDescent="0.2">
      <c r="A17" s="2" t="s">
        <v>53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9">
        <f t="shared" si="0"/>
        <v>0</v>
      </c>
    </row>
    <row r="18" spans="1:14" ht="16" x14ac:dyDescent="0.2">
      <c r="A18" s="2" t="s">
        <v>123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9">
        <f t="shared" si="0"/>
        <v>0</v>
      </c>
    </row>
    <row r="19" spans="1:14" ht="16" x14ac:dyDescent="0.2">
      <c r="A19" s="2" t="s">
        <v>61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9">
        <f t="shared" si="0"/>
        <v>0</v>
      </c>
    </row>
    <row r="20" spans="1:14" ht="16" x14ac:dyDescent="0.2">
      <c r="A20" s="2" t="s">
        <v>64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9">
        <f t="shared" si="0"/>
        <v>0</v>
      </c>
    </row>
    <row r="21" spans="1:14" ht="16" x14ac:dyDescent="0.2">
      <c r="A21" s="10" t="s">
        <v>124</v>
      </c>
      <c r="B21" s="11">
        <f t="shared" ref="B21:M21" si="1">SUM(B5:B20)</f>
        <v>2100</v>
      </c>
      <c r="C21" s="11">
        <f t="shared" si="1"/>
        <v>2100</v>
      </c>
      <c r="D21" s="11">
        <f t="shared" si="1"/>
        <v>2100</v>
      </c>
      <c r="E21" s="11">
        <f t="shared" si="1"/>
        <v>2100</v>
      </c>
      <c r="F21" s="11">
        <f t="shared" si="1"/>
        <v>2100</v>
      </c>
      <c r="G21" s="11">
        <f t="shared" si="1"/>
        <v>2100</v>
      </c>
      <c r="H21" s="11">
        <f t="shared" si="1"/>
        <v>2100</v>
      </c>
      <c r="I21" s="11">
        <f t="shared" si="1"/>
        <v>2100</v>
      </c>
      <c r="J21" s="11">
        <f t="shared" si="1"/>
        <v>2100</v>
      </c>
      <c r="K21" s="11">
        <f t="shared" si="1"/>
        <v>2100</v>
      </c>
      <c r="L21" s="11">
        <f t="shared" si="1"/>
        <v>2100</v>
      </c>
      <c r="M21" s="11">
        <f t="shared" si="1"/>
        <v>2100</v>
      </c>
      <c r="N21" s="11">
        <f t="shared" si="0"/>
        <v>25200</v>
      </c>
    </row>
    <row r="22" spans="1:14" x14ac:dyDescent="0.2">
      <c r="A22" s="27" t="s">
        <v>125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</row>
    <row r="23" spans="1:14" ht="16" x14ac:dyDescent="0.2">
      <c r="A23" s="2" t="s">
        <v>126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9">
        <f t="shared" ref="N23:N28" si="2">SUM(B23:M23)</f>
        <v>0</v>
      </c>
    </row>
    <row r="24" spans="1:14" ht="16" x14ac:dyDescent="0.2">
      <c r="A24" s="2" t="s">
        <v>127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9">
        <f t="shared" si="2"/>
        <v>0</v>
      </c>
    </row>
    <row r="25" spans="1:14" ht="16" x14ac:dyDescent="0.2">
      <c r="A25" s="2" t="s">
        <v>128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9">
        <f t="shared" si="2"/>
        <v>0</v>
      </c>
    </row>
    <row r="26" spans="1:14" ht="16" x14ac:dyDescent="0.2">
      <c r="A26" s="2" t="s">
        <v>129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9">
        <f t="shared" si="2"/>
        <v>0</v>
      </c>
    </row>
    <row r="27" spans="1:14" ht="16" x14ac:dyDescent="0.2">
      <c r="A27" s="2" t="s">
        <v>102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9">
        <f t="shared" si="2"/>
        <v>0</v>
      </c>
    </row>
    <row r="28" spans="1:14" ht="16" x14ac:dyDescent="0.2">
      <c r="A28" s="10" t="s">
        <v>130</v>
      </c>
      <c r="B28" s="11">
        <f t="shared" ref="B28:M28" si="3">SUM(B23:B27)</f>
        <v>0</v>
      </c>
      <c r="C28" s="11">
        <f t="shared" si="3"/>
        <v>0</v>
      </c>
      <c r="D28" s="11">
        <f t="shared" si="3"/>
        <v>0</v>
      </c>
      <c r="E28" s="11">
        <f t="shared" si="3"/>
        <v>0</v>
      </c>
      <c r="F28" s="11">
        <f t="shared" si="3"/>
        <v>0</v>
      </c>
      <c r="G28" s="11">
        <f t="shared" si="3"/>
        <v>0</v>
      </c>
      <c r="H28" s="11">
        <f t="shared" si="3"/>
        <v>0</v>
      </c>
      <c r="I28" s="11">
        <f t="shared" si="3"/>
        <v>0</v>
      </c>
      <c r="J28" s="11">
        <f t="shared" si="3"/>
        <v>0</v>
      </c>
      <c r="K28" s="11">
        <f t="shared" si="3"/>
        <v>0</v>
      </c>
      <c r="L28" s="11">
        <f t="shared" si="3"/>
        <v>0</v>
      </c>
      <c r="M28" s="11">
        <f t="shared" si="3"/>
        <v>0</v>
      </c>
      <c r="N28" s="11">
        <f t="shared" si="2"/>
        <v>0</v>
      </c>
    </row>
    <row r="29" spans="1:14" x14ac:dyDescent="0.2">
      <c r="A29" s="27" t="s">
        <v>131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</row>
    <row r="30" spans="1:14" ht="16" x14ac:dyDescent="0.2">
      <c r="A30" s="2" t="s">
        <v>155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9">
        <f t="shared" ref="N30:N38" si="4">SUM(B30:M30)</f>
        <v>0</v>
      </c>
    </row>
    <row r="31" spans="1:14" ht="16" x14ac:dyDescent="0.2">
      <c r="A31" s="2" t="s">
        <v>74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9">
        <f t="shared" si="4"/>
        <v>0</v>
      </c>
    </row>
    <row r="32" spans="1:14" ht="16" x14ac:dyDescent="0.2">
      <c r="A32" s="2" t="s">
        <v>77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9">
        <f t="shared" si="4"/>
        <v>0</v>
      </c>
    </row>
    <row r="33" spans="1:14" ht="16" x14ac:dyDescent="0.2">
      <c r="A33" s="2" t="s">
        <v>80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9">
        <f t="shared" si="4"/>
        <v>0</v>
      </c>
    </row>
    <row r="34" spans="1:14" ht="16" x14ac:dyDescent="0.2">
      <c r="A34" s="2" t="s">
        <v>83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9">
        <f t="shared" si="4"/>
        <v>0</v>
      </c>
    </row>
    <row r="35" spans="1:14" ht="16" x14ac:dyDescent="0.2">
      <c r="A35" s="10" t="s">
        <v>132</v>
      </c>
      <c r="B35" s="11">
        <f t="shared" ref="B35:M35" si="5">SUM(B30:B34)</f>
        <v>0</v>
      </c>
      <c r="C35" s="11">
        <f t="shared" si="5"/>
        <v>0</v>
      </c>
      <c r="D35" s="11">
        <f t="shared" si="5"/>
        <v>0</v>
      </c>
      <c r="E35" s="11">
        <f t="shared" si="5"/>
        <v>0</v>
      </c>
      <c r="F35" s="11">
        <f t="shared" si="5"/>
        <v>0</v>
      </c>
      <c r="G35" s="11">
        <f t="shared" si="5"/>
        <v>0</v>
      </c>
      <c r="H35" s="11">
        <f t="shared" si="5"/>
        <v>0</v>
      </c>
      <c r="I35" s="11">
        <f t="shared" si="5"/>
        <v>0</v>
      </c>
      <c r="J35" s="11">
        <f t="shared" si="5"/>
        <v>0</v>
      </c>
      <c r="K35" s="11">
        <f t="shared" si="5"/>
        <v>0</v>
      </c>
      <c r="L35" s="11">
        <f t="shared" si="5"/>
        <v>0</v>
      </c>
      <c r="M35" s="11">
        <f t="shared" si="5"/>
        <v>0</v>
      </c>
      <c r="N35" s="11">
        <f t="shared" si="4"/>
        <v>0</v>
      </c>
    </row>
    <row r="36" spans="1:14" ht="16" x14ac:dyDescent="0.2">
      <c r="A36" s="12" t="s">
        <v>133</v>
      </c>
      <c r="B36" s="13">
        <f t="shared" ref="B36:M36" si="6">B21+B28+B35</f>
        <v>2100</v>
      </c>
      <c r="C36" s="13">
        <f t="shared" si="6"/>
        <v>2100</v>
      </c>
      <c r="D36" s="13">
        <f t="shared" si="6"/>
        <v>2100</v>
      </c>
      <c r="E36" s="13">
        <f t="shared" si="6"/>
        <v>2100</v>
      </c>
      <c r="F36" s="13">
        <f t="shared" si="6"/>
        <v>2100</v>
      </c>
      <c r="G36" s="13">
        <f t="shared" si="6"/>
        <v>2100</v>
      </c>
      <c r="H36" s="13">
        <f t="shared" si="6"/>
        <v>2100</v>
      </c>
      <c r="I36" s="13">
        <f t="shared" si="6"/>
        <v>2100</v>
      </c>
      <c r="J36" s="13">
        <f t="shared" si="6"/>
        <v>2100</v>
      </c>
      <c r="K36" s="13">
        <f t="shared" si="6"/>
        <v>2100</v>
      </c>
      <c r="L36" s="13">
        <f t="shared" si="6"/>
        <v>2100</v>
      </c>
      <c r="M36" s="13">
        <f t="shared" si="6"/>
        <v>2100</v>
      </c>
      <c r="N36" s="13">
        <f t="shared" si="4"/>
        <v>25200</v>
      </c>
    </row>
    <row r="37" spans="1:14" ht="16" x14ac:dyDescent="0.2">
      <c r="A37" s="14" t="s">
        <v>134</v>
      </c>
      <c r="B37" s="15">
        <v>0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6">
        <f t="shared" si="4"/>
        <v>0</v>
      </c>
    </row>
    <row r="38" spans="1:14" ht="16" x14ac:dyDescent="0.2">
      <c r="A38" s="17" t="s">
        <v>135</v>
      </c>
      <c r="B38" s="18">
        <f t="shared" ref="B38:M38" si="7">B37-B36</f>
        <v>-2100</v>
      </c>
      <c r="C38" s="18">
        <f t="shared" si="7"/>
        <v>-2100</v>
      </c>
      <c r="D38" s="18">
        <f t="shared" si="7"/>
        <v>-2100</v>
      </c>
      <c r="E38" s="18">
        <f t="shared" si="7"/>
        <v>-2100</v>
      </c>
      <c r="F38" s="18">
        <f t="shared" si="7"/>
        <v>-2100</v>
      </c>
      <c r="G38" s="18">
        <f t="shared" si="7"/>
        <v>-2100</v>
      </c>
      <c r="H38" s="18">
        <f t="shared" si="7"/>
        <v>-2100</v>
      </c>
      <c r="I38" s="18">
        <f t="shared" si="7"/>
        <v>-2100</v>
      </c>
      <c r="J38" s="18">
        <f t="shared" si="7"/>
        <v>-2100</v>
      </c>
      <c r="K38" s="18">
        <f t="shared" si="7"/>
        <v>-2100</v>
      </c>
      <c r="L38" s="18">
        <f t="shared" si="7"/>
        <v>-2100</v>
      </c>
      <c r="M38" s="18">
        <f t="shared" si="7"/>
        <v>-2100</v>
      </c>
      <c r="N38" s="18">
        <f t="shared" si="4"/>
        <v>-25200</v>
      </c>
    </row>
  </sheetData>
  <mergeCells count="5">
    <mergeCell ref="A22:N22"/>
    <mergeCell ref="A4:N4"/>
    <mergeCell ref="A2:N2"/>
    <mergeCell ref="A29:N29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showGridLines="0" workbookViewId="0">
      <selection activeCell="B33" sqref="B33"/>
    </sheetView>
  </sheetViews>
  <sheetFormatPr baseColWidth="10" defaultColWidth="8.83203125" defaultRowHeight="15" x14ac:dyDescent="0.2"/>
  <cols>
    <col min="1" max="1" width="38" customWidth="1"/>
    <col min="2" max="2" width="20" customWidth="1"/>
    <col min="3" max="3" width="4" customWidth="1"/>
    <col min="4" max="4" width="50" customWidth="1"/>
  </cols>
  <sheetData>
    <row r="1" spans="1:4" ht="24" customHeight="1" x14ac:dyDescent="0.2">
      <c r="A1" s="24" t="s">
        <v>136</v>
      </c>
      <c r="B1" s="25"/>
      <c r="C1" s="25"/>
      <c r="D1" s="25"/>
    </row>
    <row r="2" spans="1:4" x14ac:dyDescent="0.2">
      <c r="A2" s="26" t="s">
        <v>137</v>
      </c>
      <c r="B2" s="25"/>
      <c r="C2" s="25"/>
      <c r="D2" s="25"/>
    </row>
    <row r="4" spans="1:4" x14ac:dyDescent="0.2">
      <c r="A4" s="1" t="s">
        <v>138</v>
      </c>
      <c r="B4" s="1" t="s">
        <v>139</v>
      </c>
    </row>
    <row r="5" spans="1:4" ht="16" x14ac:dyDescent="0.2">
      <c r="A5" s="19" t="s">
        <v>140</v>
      </c>
      <c r="B5" s="3">
        <f>'Tracking Mensual'!N21</f>
        <v>25200</v>
      </c>
    </row>
    <row r="6" spans="1:4" ht="16" x14ac:dyDescent="0.2">
      <c r="A6" s="19" t="s">
        <v>141</v>
      </c>
      <c r="B6" s="3">
        <f>'Tracking Mensual'!N28</f>
        <v>0</v>
      </c>
    </row>
    <row r="7" spans="1:4" ht="16" x14ac:dyDescent="0.2">
      <c r="A7" s="19" t="s">
        <v>142</v>
      </c>
      <c r="B7" s="3">
        <f>'Tracking Mensual'!N35</f>
        <v>0</v>
      </c>
    </row>
    <row r="8" spans="1:4" ht="16" x14ac:dyDescent="0.2">
      <c r="A8" s="10" t="s">
        <v>143</v>
      </c>
      <c r="B8" s="20">
        <f>'Tracking Mensual'!N36</f>
        <v>25200</v>
      </c>
    </row>
    <row r="9" spans="1:4" ht="16" x14ac:dyDescent="0.2">
      <c r="A9" s="19" t="s">
        <v>144</v>
      </c>
      <c r="B9" s="3">
        <f>'Tracking Mensual'!N37</f>
        <v>0</v>
      </c>
    </row>
    <row r="10" spans="1:4" ht="16" x14ac:dyDescent="0.2">
      <c r="A10" s="21" t="s">
        <v>145</v>
      </c>
      <c r="B10" s="22">
        <f>'Tracking Mensual'!N38</f>
        <v>-25200</v>
      </c>
    </row>
    <row r="12" spans="1:4" ht="16" x14ac:dyDescent="0.2">
      <c r="A12" s="19" t="s">
        <v>146</v>
      </c>
      <c r="B12" s="3">
        <f>'Tracking Mensual'!B21</f>
        <v>2100</v>
      </c>
    </row>
    <row r="14" spans="1:4" x14ac:dyDescent="0.2">
      <c r="A14" s="23" t="s">
        <v>147</v>
      </c>
    </row>
    <row r="15" spans="1:4" x14ac:dyDescent="0.2">
      <c r="A15" s="26" t="s">
        <v>148</v>
      </c>
      <c r="B15" s="25"/>
      <c r="C15" s="25"/>
      <c r="D15" s="25"/>
    </row>
    <row r="16" spans="1:4" x14ac:dyDescent="0.2">
      <c r="A16" s="26" t="s">
        <v>149</v>
      </c>
      <c r="B16" s="25"/>
      <c r="C16" s="25"/>
      <c r="D16" s="25"/>
    </row>
    <row r="17" spans="1:4" x14ac:dyDescent="0.2">
      <c r="A17" s="26" t="s">
        <v>150</v>
      </c>
      <c r="B17" s="25"/>
      <c r="C17" s="25"/>
      <c r="D17" s="25"/>
    </row>
    <row r="18" spans="1:4" x14ac:dyDescent="0.2">
      <c r="A18" s="26" t="s">
        <v>151</v>
      </c>
      <c r="B18" s="25"/>
      <c r="C18" s="25"/>
      <c r="D18" s="25"/>
    </row>
    <row r="19" spans="1:4" x14ac:dyDescent="0.2">
      <c r="A19" s="26" t="s">
        <v>152</v>
      </c>
      <c r="B19" s="25"/>
      <c r="C19" s="25"/>
      <c r="D19" s="25"/>
    </row>
    <row r="20" spans="1:4" x14ac:dyDescent="0.2">
      <c r="A20" s="26" t="s">
        <v>153</v>
      </c>
      <c r="B20" s="25"/>
      <c r="C20" s="25"/>
      <c r="D20" s="25"/>
    </row>
  </sheetData>
  <mergeCells count="8">
    <mergeCell ref="A1:D1"/>
    <mergeCell ref="A17:D17"/>
    <mergeCell ref="A18:D18"/>
    <mergeCell ref="A20:D20"/>
    <mergeCell ref="A15:D15"/>
    <mergeCell ref="A16:D16"/>
    <mergeCell ref="A2:D2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Catálogo de Costos</vt:lpstr>
      <vt:lpstr>Tracking Mensual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Bahena</cp:lastModifiedBy>
  <dcterms:created xsi:type="dcterms:W3CDTF">2026-06-02T15:36:47Z</dcterms:created>
  <dcterms:modified xsi:type="dcterms:W3CDTF">2026-06-02T16:57:56Z</dcterms:modified>
</cp:coreProperties>
</file>
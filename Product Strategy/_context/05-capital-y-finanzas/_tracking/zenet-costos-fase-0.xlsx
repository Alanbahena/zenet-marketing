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 de Costos" sheetId="1" state="visible" r:id="rId1"/>
    <sheet name="Tracking Mensual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MXN&quot;"/>
    <numFmt numFmtId="165" formatCode="#,##0 &quot;USD&quot;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9"/>
    </font>
    <font>
      <b val="1"/>
      <color rgb="00FFFFFF"/>
      <sz val="11"/>
    </font>
    <font>
      <b val="1"/>
      <color rgb="002E7D32"/>
      <sz val="11"/>
    </font>
    <font>
      <color rgb="00B07000"/>
      <sz val="11"/>
    </font>
    <font>
      <b val="1"/>
      <sz val="11"/>
    </font>
    <font>
      <b val="1"/>
      <color rgb="00C0392B"/>
      <sz val="11"/>
    </font>
    <font>
      <b val="1"/>
      <color rgb="00C0392B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C8A"/>
      </patternFill>
    </fill>
    <fill>
      <patternFill patternType="solid">
        <fgColor rgb="00D6E8D4"/>
      </patternFill>
    </fill>
    <fill>
      <patternFill patternType="solid">
        <fgColor rgb="00F4E1B5"/>
      </patternFill>
    </fill>
    <fill>
      <patternFill patternType="solid">
        <fgColor rgb="00EAEEF2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6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right" vertic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16" customWidth="1" min="4" max="4"/>
    <col width="18" customWidth="1" min="5" max="5"/>
    <col width="12" customWidth="1" min="6" max="6"/>
    <col width="12" customWidth="1" min="7" max="7"/>
    <col width="10" customWidth="1" min="8" max="8"/>
    <col width="10" customWidth="1" min="9" max="9"/>
    <col width="46" customWidth="1" min="10" max="10"/>
  </cols>
  <sheetData>
    <row r="1" ht="24" customHeight="1">
      <c r="A1" s="1" t="inlineStr">
        <is>
          <t>ZENET · Catálogo de Costos Fase 0</t>
        </is>
      </c>
    </row>
    <row r="2">
      <c r="A2" s="2" t="inlineStr">
        <is>
          <t>Declaración de todos los costos · valores hipótesis de doc 04 viabilidad económica + doc 01 operational readiness · ajustar con valores reales · Tipo de cambio ref ~$20 MXN/USD</t>
        </is>
      </c>
    </row>
    <row r="4">
      <c r="A4" s="3" t="inlineStr">
        <is>
          <t>Categoría</t>
        </is>
      </c>
      <c r="B4" s="3" t="inlineStr">
        <is>
          <t>Concepto</t>
        </is>
      </c>
      <c r="C4" s="3" t="inlineStr">
        <is>
          <t>Descripción</t>
        </is>
      </c>
      <c r="D4" s="3" t="inlineStr">
        <is>
          <t>Tipo</t>
        </is>
      </c>
      <c r="E4" s="3" t="inlineStr">
        <is>
          <t>Frecuencia</t>
        </is>
      </c>
      <c r="F4" s="3" t="inlineStr">
        <is>
          <t>Costo MXN</t>
        </is>
      </c>
      <c r="G4" s="3" t="inlineStr">
        <is>
          <t>Costo USD</t>
        </is>
      </c>
      <c r="H4" s="3" t="inlineStr">
        <is>
          <t>Tier</t>
        </is>
      </c>
      <c r="I4" s="3" t="inlineStr">
        <is>
          <t>Status</t>
        </is>
      </c>
      <c r="J4" s="3" t="inlineStr">
        <is>
          <t>Notas</t>
        </is>
      </c>
    </row>
    <row r="5">
      <c r="A5" s="4" t="inlineStr">
        <is>
          <t>Software infra</t>
        </is>
      </c>
      <c r="B5" s="4" t="inlineStr">
        <is>
          <t>Vercel</t>
        </is>
      </c>
      <c r="C5" s="4" t="inlineStr">
        <is>
          <t>Frontend hosting (Hobby free)</t>
        </is>
      </c>
      <c r="D5" s="4" t="inlineStr">
        <is>
          <t>Fijo</t>
        </is>
      </c>
      <c r="E5" s="4" t="inlineStr">
        <is>
          <t>Mensual</t>
        </is>
      </c>
      <c r="F5" s="5" t="n">
        <v>0</v>
      </c>
      <c r="G5" s="6" t="n">
        <v>0</v>
      </c>
      <c r="H5" s="7" t="inlineStr">
        <is>
          <t>Tier 1</t>
        </is>
      </c>
      <c r="I5" s="8" t="inlineStr">
        <is>
          <t>Activo</t>
        </is>
      </c>
      <c r="J5" s="4" t="inlineStr">
        <is>
          <t>Free cubre Phase 0 · Pro $20 USD al cruzar 100GB bandwidth</t>
        </is>
      </c>
    </row>
    <row r="6">
      <c r="A6" s="4" t="inlineStr">
        <is>
          <t>Software infra</t>
        </is>
      </c>
      <c r="B6" s="4" t="inlineStr">
        <is>
          <t>Railway</t>
        </is>
      </c>
      <c r="C6" s="4" t="inlineStr">
        <is>
          <t>Backend hosting FastAPI (Hobby)</t>
        </is>
      </c>
      <c r="D6" s="4" t="inlineStr">
        <is>
          <t>Fijo</t>
        </is>
      </c>
      <c r="E6" s="4" t="inlineStr">
        <is>
          <t>Mensual</t>
        </is>
      </c>
      <c r="F6" s="5" t="n">
        <v>100</v>
      </c>
      <c r="G6" s="6" t="n">
        <v>5</v>
      </c>
      <c r="H6" s="7" t="inlineStr">
        <is>
          <t>Tier 1</t>
        </is>
      </c>
      <c r="I6" s="8" t="inlineStr">
        <is>
          <t>Activo</t>
        </is>
      </c>
      <c r="J6" s="4" t="inlineStr">
        <is>
          <t>$5 usage credits incluidos · sube con traffic</t>
        </is>
      </c>
    </row>
    <row r="7">
      <c r="A7" s="4" t="inlineStr">
        <is>
          <t>Software infra</t>
        </is>
      </c>
      <c r="B7" s="4" t="inlineStr">
        <is>
          <t>Supabase</t>
        </is>
      </c>
      <c r="C7" s="4" t="inlineStr">
        <is>
          <t>DB + Auth + Storage (Free)</t>
        </is>
      </c>
      <c r="D7" s="4" t="inlineStr">
        <is>
          <t>Fijo</t>
        </is>
      </c>
      <c r="E7" s="4" t="inlineStr">
        <is>
          <t>Mensual</t>
        </is>
      </c>
      <c r="F7" s="5" t="n">
        <v>0</v>
      </c>
      <c r="G7" s="6" t="n">
        <v>0</v>
      </c>
      <c r="H7" s="7" t="inlineStr">
        <is>
          <t>Tier 1</t>
        </is>
      </c>
      <c r="I7" s="8" t="inlineStr">
        <is>
          <t>Activo</t>
        </is>
      </c>
      <c r="J7" s="4" t="inlineStr">
        <is>
          <t>Free cubre 5 clientes · Pro $25 USD al escalar</t>
        </is>
      </c>
    </row>
    <row r="8">
      <c r="A8" s="4" t="inlineStr">
        <is>
          <t>Software infra</t>
        </is>
      </c>
      <c r="B8" s="4" t="inlineStr">
        <is>
          <t>Langfuse</t>
        </is>
      </c>
      <c r="C8" s="4" t="inlineStr">
        <is>
          <t>AI monitoring (Free)</t>
        </is>
      </c>
      <c r="D8" s="4" t="inlineStr">
        <is>
          <t>Fijo</t>
        </is>
      </c>
      <c r="E8" s="4" t="inlineStr">
        <is>
          <t>Mensual</t>
        </is>
      </c>
      <c r="F8" s="5" t="n">
        <v>0</v>
      </c>
      <c r="G8" s="6" t="n">
        <v>0</v>
      </c>
      <c r="H8" s="7" t="inlineStr">
        <is>
          <t>Tier 1</t>
        </is>
      </c>
      <c r="I8" s="8" t="inlineStr">
        <is>
          <t>Activo</t>
        </is>
      </c>
      <c r="J8" s="4" t="inlineStr">
        <is>
          <t>Free 50K obs · Hobby $26 USD al escalar</t>
        </is>
      </c>
    </row>
    <row r="9">
      <c r="A9" s="4" t="inlineStr">
        <is>
          <t>Software infra</t>
        </is>
      </c>
      <c r="B9" s="4" t="inlineStr">
        <is>
          <t>Sentry</t>
        </is>
      </c>
      <c r="C9" s="4" t="inlineStr">
        <is>
          <t>Error tracking (Free)</t>
        </is>
      </c>
      <c r="D9" s="4" t="inlineStr">
        <is>
          <t>Fijo</t>
        </is>
      </c>
      <c r="E9" s="4" t="inlineStr">
        <is>
          <t>Mensual</t>
        </is>
      </c>
      <c r="F9" s="5" t="n">
        <v>0</v>
      </c>
      <c r="G9" s="6" t="n">
        <v>0</v>
      </c>
      <c r="H9" s="7" t="inlineStr">
        <is>
          <t>Tier 1</t>
        </is>
      </c>
      <c r="I9" s="8" t="inlineStr">
        <is>
          <t>Activo</t>
        </is>
      </c>
      <c r="J9" s="4" t="inlineStr">
        <is>
          <t>Free 5K errors · Team $26 USD al escalar</t>
        </is>
      </c>
    </row>
    <row r="10">
      <c r="A10" s="4" t="inlineStr">
        <is>
          <t>Software infra</t>
        </is>
      </c>
      <c r="B10" s="4" t="inlineStr">
        <is>
          <t>PostHog</t>
        </is>
      </c>
      <c r="C10" s="4" t="inlineStr">
        <is>
          <t>Product analytics (Free)</t>
        </is>
      </c>
      <c r="D10" s="4" t="inlineStr">
        <is>
          <t>Fijo</t>
        </is>
      </c>
      <c r="E10" s="4" t="inlineStr">
        <is>
          <t>Mensual</t>
        </is>
      </c>
      <c r="F10" s="5" t="n">
        <v>0</v>
      </c>
      <c r="G10" s="6" t="n">
        <v>0</v>
      </c>
      <c r="H10" s="7" t="inlineStr">
        <is>
          <t>Tier 1</t>
        </is>
      </c>
      <c r="I10" s="8" t="inlineStr">
        <is>
          <t>Activo</t>
        </is>
      </c>
      <c r="J10" s="4" t="inlineStr">
        <is>
          <t>Free 1M events · Pro $100-300 USD al escalar</t>
        </is>
      </c>
    </row>
    <row r="11">
      <c r="A11" s="4" t="inlineStr">
        <is>
          <t>Software infra</t>
        </is>
      </c>
      <c r="B11" s="4" t="inlineStr">
        <is>
          <t>GitHub</t>
        </is>
      </c>
      <c r="C11" s="4" t="inlineStr">
        <is>
          <t>Repo (Free Org)</t>
        </is>
      </c>
      <c r="D11" s="4" t="inlineStr">
        <is>
          <t>Fijo</t>
        </is>
      </c>
      <c r="E11" s="4" t="inlineStr">
        <is>
          <t>Mensual</t>
        </is>
      </c>
      <c r="F11" s="5" t="n">
        <v>0</v>
      </c>
      <c r="G11" s="6" t="n">
        <v>0</v>
      </c>
      <c r="H11" s="7" t="inlineStr">
        <is>
          <t>Tier 1</t>
        </is>
      </c>
      <c r="I11" s="8" t="inlineStr">
        <is>
          <t>Activo</t>
        </is>
      </c>
      <c r="J11" s="4" t="inlineStr">
        <is>
          <t>Sin branch protection enforcement</t>
        </is>
      </c>
    </row>
    <row r="12">
      <c r="A12" s="4" t="inlineStr">
        <is>
          <t>Software infra</t>
        </is>
      </c>
      <c r="B12" s="4" t="inlineStr">
        <is>
          <t>Dominio zenet.mx</t>
        </is>
      </c>
      <c r="C12" s="4" t="inlineStr">
        <is>
          <t>Registro dominio</t>
        </is>
      </c>
      <c r="D12" s="4" t="inlineStr">
        <is>
          <t>Fijo</t>
        </is>
      </c>
      <c r="E12" s="4" t="inlineStr">
        <is>
          <t>Anual</t>
        </is>
      </c>
      <c r="F12" s="5" t="n">
        <v>40</v>
      </c>
      <c r="G12" s="6" t="n">
        <v>2</v>
      </c>
      <c r="H12" s="7" t="inlineStr">
        <is>
          <t>Tier 1</t>
        </is>
      </c>
      <c r="I12" s="8" t="inlineStr">
        <is>
          <t>Activo</t>
        </is>
      </c>
      <c r="J12" s="4" t="inlineStr">
        <is>
          <t>$300-500 MXN/año · amortizado mensual</t>
        </is>
      </c>
    </row>
    <row r="13">
      <c r="A13" s="4" t="inlineStr">
        <is>
          <t>Founder dev tools</t>
        </is>
      </c>
      <c r="B13" s="4" t="inlineStr">
        <is>
          <t>Anthropic Max</t>
        </is>
      </c>
      <c r="C13" s="4" t="inlineStr">
        <is>
          <t>Plan personal dev + AI</t>
        </is>
      </c>
      <c r="D13" s="4" t="inlineStr">
        <is>
          <t>Fijo</t>
        </is>
      </c>
      <c r="E13" s="4" t="inlineStr">
        <is>
          <t>Mensual</t>
        </is>
      </c>
      <c r="F13" s="5" t="n">
        <v>2000</v>
      </c>
      <c r="G13" s="6" t="n">
        <v>100</v>
      </c>
      <c r="H13" s="7" t="inlineStr">
        <is>
          <t>Tier 1</t>
        </is>
      </c>
      <c r="I13" s="8" t="inlineStr">
        <is>
          <t>Activo</t>
        </is>
      </c>
      <c r="J13" s="4" t="inlineStr">
        <is>
          <t>Dev + personal · NO es cliente API</t>
        </is>
      </c>
    </row>
    <row r="14">
      <c r="A14" s="4" t="inlineStr">
        <is>
          <t>Founder dev tools</t>
        </is>
      </c>
      <c r="B14" s="4" t="inlineStr">
        <is>
          <t>Figma</t>
        </is>
      </c>
      <c r="C14" s="4" t="inlineStr">
        <is>
          <t>Pro · diseño/UI</t>
        </is>
      </c>
      <c r="D14" s="4" t="inlineStr">
        <is>
          <t>Fijo</t>
        </is>
      </c>
      <c r="E14" s="4" t="inlineStr">
        <is>
          <t>Mensual</t>
        </is>
      </c>
      <c r="F14" s="5" t="n">
        <v>400</v>
      </c>
      <c r="G14" s="6" t="n">
        <v>20</v>
      </c>
      <c r="H14" s="7" t="inlineStr">
        <is>
          <t>Tier 1</t>
        </is>
      </c>
      <c r="I14" s="8" t="inlineStr">
        <is>
          <t>Activo</t>
        </is>
      </c>
      <c r="J14" s="4" t="inlineStr">
        <is>
          <t>Rango $300-600 MXN</t>
        </is>
      </c>
    </row>
    <row r="15">
      <c r="A15" s="4" t="inlineStr">
        <is>
          <t>Founder dev tools</t>
        </is>
      </c>
      <c r="B15" s="4" t="inlineStr">
        <is>
          <t>Notion</t>
        </is>
      </c>
      <c r="C15" s="4" t="inlineStr">
        <is>
          <t>Plus · workspace</t>
        </is>
      </c>
      <c r="D15" s="4" t="inlineStr">
        <is>
          <t>Fijo</t>
        </is>
      </c>
      <c r="E15" s="4" t="inlineStr">
        <is>
          <t>Mensual</t>
        </is>
      </c>
      <c r="F15" s="5" t="n">
        <v>200</v>
      </c>
      <c r="G15" s="6" t="n">
        <v>10</v>
      </c>
      <c r="H15" s="7" t="inlineStr">
        <is>
          <t>Tier 1</t>
        </is>
      </c>
      <c r="I15" s="8" t="inlineStr">
        <is>
          <t>Activo</t>
        </is>
      </c>
      <c r="J15" s="4" t="inlineStr"/>
    </row>
    <row r="16">
      <c r="A16" s="4" t="inlineStr">
        <is>
          <t>Founder dev tools</t>
        </is>
      </c>
      <c r="B16" s="4" t="inlineStr">
        <is>
          <t>Adobe</t>
        </is>
      </c>
      <c r="C16" s="4" t="inlineStr">
        <is>
          <t>Creative Cloud · assets</t>
        </is>
      </c>
      <c r="D16" s="4" t="inlineStr">
        <is>
          <t>Fijo</t>
        </is>
      </c>
      <c r="E16" s="4" t="inlineStr">
        <is>
          <t>Mensual</t>
        </is>
      </c>
      <c r="F16" s="5" t="n">
        <v>1100</v>
      </c>
      <c r="G16" s="6" t="n">
        <v>55</v>
      </c>
      <c r="H16" s="7" t="inlineStr">
        <is>
          <t>Tier 1</t>
        </is>
      </c>
      <c r="I16" s="8" t="inlineStr">
        <is>
          <t>Activo</t>
        </is>
      </c>
      <c r="J16" s="4" t="inlineStr"/>
    </row>
    <row r="17">
      <c r="A17" s="4" t="inlineStr">
        <is>
          <t>Founder dev tools</t>
        </is>
      </c>
      <c r="B17" s="4" t="inlineStr">
        <is>
          <t>Google Workspace</t>
        </is>
      </c>
      <c r="C17" s="4" t="inlineStr">
        <is>
          <t>Email empresarial + collab</t>
        </is>
      </c>
      <c r="D17" s="4" t="inlineStr">
        <is>
          <t>Fijo</t>
        </is>
      </c>
      <c r="E17" s="4" t="inlineStr">
        <is>
          <t>Mensual</t>
        </is>
      </c>
      <c r="F17" s="5" t="n">
        <v>120</v>
      </c>
      <c r="G17" s="6" t="n">
        <v>6</v>
      </c>
      <c r="H17" s="7" t="inlineStr">
        <is>
          <t>Tier 1</t>
        </is>
      </c>
      <c r="I17" s="8" t="inlineStr">
        <is>
          <t>Activo</t>
        </is>
      </c>
      <c r="J17" s="4" t="inlineStr">
        <is>
          <t>zenet@zenet.mx</t>
        </is>
      </c>
    </row>
    <row r="18">
      <c r="A18" s="4" t="inlineStr">
        <is>
          <t>Professional services</t>
        </is>
      </c>
      <c r="B18" s="4" t="inlineStr">
        <is>
          <t>Lawyer</t>
        </is>
      </c>
      <c r="C18" s="4" t="inlineStr">
        <is>
          <t>Engagement 6 meses (MSA+DPA+Adendum SF)</t>
        </is>
      </c>
      <c r="D18" s="4" t="inlineStr">
        <is>
          <t>Fijo</t>
        </is>
      </c>
      <c r="E18" s="4" t="inlineStr">
        <is>
          <t>Mensual</t>
        </is>
      </c>
      <c r="F18" s="5" t="n">
        <v>3400</v>
      </c>
      <c r="G18" s="6" t="n">
        <v>170</v>
      </c>
      <c r="H18" s="9" t="inlineStr">
        <is>
          <t>Tier 2.0</t>
        </is>
      </c>
      <c r="I18" s="10" t="inlineStr">
        <is>
          <t>Pending</t>
        </is>
      </c>
      <c r="J18" s="4" t="inlineStr">
        <is>
          <t>20,400 MXN/6 meses · activa con LOI gate · NO incluye trámites</t>
        </is>
      </c>
    </row>
    <row r="19">
      <c r="A19" s="4" t="inlineStr">
        <is>
          <t>Professional services</t>
        </is>
      </c>
      <c r="B19" s="4" t="inlineStr">
        <is>
          <t>Contador</t>
        </is>
      </c>
      <c r="C19" s="4" t="inlineStr">
        <is>
          <t>Despacho contable mensual</t>
        </is>
      </c>
      <c r="D19" s="4" t="inlineStr">
        <is>
          <t>Fijo</t>
        </is>
      </c>
      <c r="E19" s="4" t="inlineStr">
        <is>
          <t>Mensual</t>
        </is>
      </c>
      <c r="F19" s="5" t="n">
        <v>500</v>
      </c>
      <c r="G19" s="6" t="n">
        <v>25</v>
      </c>
      <c r="H19" s="9" t="inlineStr">
        <is>
          <t>Tier 2.0</t>
        </is>
      </c>
      <c r="I19" s="10" t="inlineStr">
        <is>
          <t>Pending</t>
        </is>
      </c>
      <c r="J19" s="4" t="inlineStr">
        <is>
          <t>Activa cuando primer cobro confirmado</t>
        </is>
      </c>
    </row>
    <row r="20">
      <c r="A20" s="4" t="inlineStr">
        <is>
          <t>Professional services</t>
        </is>
      </c>
      <c r="B20" s="4" t="inlineStr">
        <is>
          <t>PAC CFDI</t>
        </is>
      </c>
      <c r="C20" s="4" t="inlineStr">
        <is>
          <t>Facturama/Konfio timbrado</t>
        </is>
      </c>
      <c r="D20" s="4" t="inlineStr">
        <is>
          <t>Fijo</t>
        </is>
      </c>
      <c r="E20" s="4" t="inlineStr">
        <is>
          <t>Mensual</t>
        </is>
      </c>
      <c r="F20" s="5" t="n">
        <v>350</v>
      </c>
      <c r="G20" s="6" t="n">
        <v>18</v>
      </c>
      <c r="H20" s="9" t="inlineStr">
        <is>
          <t>Tier 2.0</t>
        </is>
      </c>
      <c r="I20" s="10" t="inlineStr">
        <is>
          <t>Pending</t>
        </is>
      </c>
      <c r="J20" s="4" t="inlineStr">
        <is>
          <t>$200-500 MXN · activa con primer cobro</t>
        </is>
      </c>
    </row>
    <row r="21">
      <c r="A21" s="4" t="inlineStr">
        <is>
          <t>Hardware</t>
        </is>
      </c>
      <c r="B21" s="4" t="inlineStr">
        <is>
          <t>MacBook Pro M4</t>
        </is>
      </c>
      <c r="C21" s="4" t="inlineStr">
        <is>
          <t>Upgrade desde 2019 Intel i7</t>
        </is>
      </c>
      <c r="D21" s="4" t="inlineStr">
        <is>
          <t>One-time</t>
        </is>
      </c>
      <c r="E21" s="4" t="inlineStr">
        <is>
          <t>One-time (amort 12m)</t>
        </is>
      </c>
      <c r="F21" s="5" t="n">
        <v>6000</v>
      </c>
      <c r="G21" s="6" t="n">
        <v>300</v>
      </c>
      <c r="H21" s="7" t="inlineStr">
        <is>
          <t>Tier 1</t>
        </is>
      </c>
      <c r="I21" s="10" t="inlineStr">
        <is>
          <t>Pending</t>
        </is>
      </c>
      <c r="J21" s="4" t="inlineStr">
        <is>
          <t>$60-80K MXN amortizado 12 meses · decisión founder</t>
        </is>
      </c>
    </row>
    <row r="22">
      <c r="A22" s="4" t="inlineStr">
        <is>
          <t>Setup one-time</t>
        </is>
      </c>
      <c r="B22" s="4" t="inlineStr">
        <is>
          <t>PFAE setup SAT</t>
        </is>
      </c>
      <c r="C22" s="4" t="inlineStr">
        <is>
          <t>RFC actividad empresarial</t>
        </is>
      </c>
      <c r="D22" s="4" t="inlineStr">
        <is>
          <t>One-time</t>
        </is>
      </c>
      <c r="E22" s="4" t="inlineStr">
        <is>
          <t>One-time</t>
        </is>
      </c>
      <c r="F22" s="5" t="n">
        <v>1000</v>
      </c>
      <c r="G22" s="6" t="n">
        <v>50</v>
      </c>
      <c r="H22" s="7" t="inlineStr">
        <is>
          <t>Tier 1</t>
        </is>
      </c>
      <c r="I22" s="10" t="inlineStr">
        <is>
          <t>Pending</t>
        </is>
      </c>
      <c r="J22" s="4" t="inlineStr">
        <is>
          <t>$0-2K MXN · 1 día · cita SAT</t>
        </is>
      </c>
    </row>
    <row r="23">
      <c r="A23" s="4" t="inlineStr">
        <is>
          <t>Setup one-time</t>
        </is>
      </c>
      <c r="B23" s="4" t="inlineStr">
        <is>
          <t>Cuenta bancaria</t>
        </is>
      </c>
      <c r="C23" s="4" t="inlineStr">
        <is>
          <t>Banco empresarial</t>
        </is>
      </c>
      <c r="D23" s="4" t="inlineStr">
        <is>
          <t>One-time</t>
        </is>
      </c>
      <c r="E23" s="4" t="inlineStr">
        <is>
          <t>One-time</t>
        </is>
      </c>
      <c r="F23" s="5" t="n">
        <v>0</v>
      </c>
      <c r="G23" s="6" t="n">
        <v>0</v>
      </c>
      <c r="H23" s="7" t="inlineStr">
        <is>
          <t>Tier 1</t>
        </is>
      </c>
      <c r="I23" s="10" t="inlineStr">
        <is>
          <t>Pending</t>
        </is>
      </c>
      <c r="J23" s="4" t="inlineStr">
        <is>
          <t>Gratis · ~1 semana</t>
        </is>
      </c>
    </row>
    <row r="24">
      <c r="A24" s="4" t="inlineStr">
        <is>
          <t>Setup one-time</t>
        </is>
      </c>
      <c r="B24" s="4" t="inlineStr">
        <is>
          <t>IMPI marca</t>
        </is>
      </c>
      <c r="C24" s="4" t="inlineStr">
        <is>
          <t>Trademark registro 'Zenet'</t>
        </is>
      </c>
      <c r="D24" s="4" t="inlineStr">
        <is>
          <t>One-time</t>
        </is>
      </c>
      <c r="E24" s="4" t="inlineStr">
        <is>
          <t>One-time</t>
        </is>
      </c>
      <c r="F24" s="5" t="n">
        <v>4000</v>
      </c>
      <c r="G24" s="6" t="n">
        <v>200</v>
      </c>
      <c r="H24" s="7" t="inlineStr">
        <is>
          <t>Tier 1</t>
        </is>
      </c>
      <c r="I24" s="10" t="inlineStr">
        <is>
          <t>Pending</t>
        </is>
      </c>
      <c r="J24" s="4" t="inlineStr">
        <is>
          <t>$3-5K MXN · 4-6 meses approval · protege desde filing</t>
        </is>
      </c>
    </row>
    <row r="25">
      <c r="A25" s="4" t="inlineStr">
        <is>
          <t>Setup one-time</t>
        </is>
      </c>
      <c r="B25" s="4" t="inlineStr">
        <is>
          <t>Website básico</t>
        </is>
      </c>
      <c r="C25" s="4" t="inlineStr">
        <is>
          <t>Landing + Aviso Privacidad draft</t>
        </is>
      </c>
      <c r="D25" s="4" t="inlineStr">
        <is>
          <t>One-time</t>
        </is>
      </c>
      <c r="E25" s="4" t="inlineStr">
        <is>
          <t>One-time</t>
        </is>
      </c>
      <c r="F25" s="5" t="n">
        <v>1500</v>
      </c>
      <c r="G25" s="6" t="n">
        <v>75</v>
      </c>
      <c r="H25" s="7" t="inlineStr">
        <is>
          <t>Tier 1</t>
        </is>
      </c>
      <c r="I25" s="10" t="inlineStr">
        <is>
          <t>Pending</t>
        </is>
      </c>
      <c r="J25" s="4" t="inlineStr">
        <is>
          <t>$0-3K MXN DIY (Webflow/Framer)</t>
        </is>
      </c>
    </row>
    <row r="26">
      <c r="A26" s="4" t="inlineStr">
        <is>
          <t>Vendor variable</t>
        </is>
      </c>
      <c r="B26" s="4" t="inlineStr">
        <is>
          <t>Anthropic API</t>
        </is>
      </c>
      <c r="C26" s="4" t="inlineStr">
        <is>
          <t>LLM inference per cliente Esencial</t>
        </is>
      </c>
      <c r="D26" s="4" t="inlineStr">
        <is>
          <t>Variable</t>
        </is>
      </c>
      <c r="E26" s="4" t="inlineStr">
        <is>
          <t>Mensual/cliente</t>
        </is>
      </c>
      <c r="F26" s="5" t="n">
        <v>700</v>
      </c>
      <c r="G26" s="6" t="n">
        <v>35</v>
      </c>
      <c r="H26" s="9" t="inlineStr">
        <is>
          <t>Tier 2.0</t>
        </is>
      </c>
      <c r="I26" s="10" t="inlineStr">
        <is>
          <t>Pending</t>
        </is>
      </c>
      <c r="J26" s="4" t="inlineStr">
        <is>
          <t>$20-50 USD/cliente sin Capa 1 · -50% con prompt caching</t>
        </is>
      </c>
    </row>
    <row r="27">
      <c r="A27" s="4" t="inlineStr">
        <is>
          <t>Vendor variable</t>
        </is>
      </c>
      <c r="B27" s="4" t="inlineStr">
        <is>
          <t>WhatsApp Business API</t>
        </is>
      </c>
      <c r="C27" s="4" t="inlineStr">
        <is>
          <t>Messaging per cliente</t>
        </is>
      </c>
      <c r="D27" s="4" t="inlineStr">
        <is>
          <t>Variable</t>
        </is>
      </c>
      <c r="E27" s="4" t="inlineStr">
        <is>
          <t>Mensual/cliente</t>
        </is>
      </c>
      <c r="F27" s="5" t="n">
        <v>200</v>
      </c>
      <c r="G27" s="6" t="n">
        <v>10</v>
      </c>
      <c r="H27" s="7" t="inlineStr">
        <is>
          <t>Tier 1.5</t>
        </is>
      </c>
      <c r="I27" s="10" t="inlineStr">
        <is>
          <t>Pending</t>
        </is>
      </c>
      <c r="J27" s="4" t="inlineStr">
        <is>
          <t>$5-15 USD/cliente · provider Meta direct TBD</t>
        </is>
      </c>
    </row>
    <row r="28">
      <c r="A28" s="4" t="inlineStr">
        <is>
          <t>Vendor variable</t>
        </is>
      </c>
      <c r="B28" s="4" t="inlineStr">
        <is>
          <t>Supabase compute</t>
        </is>
      </c>
      <c r="C28" s="4" t="inlineStr">
        <is>
          <t>DB compute scaling per cliente</t>
        </is>
      </c>
      <c r="D28" s="4" t="inlineStr">
        <is>
          <t>Variable</t>
        </is>
      </c>
      <c r="E28" s="4" t="inlineStr">
        <is>
          <t>Mensual/cliente</t>
        </is>
      </c>
      <c r="F28" s="5" t="n">
        <v>0</v>
      </c>
      <c r="G28" s="6" t="n">
        <v>0</v>
      </c>
      <c r="H28" s="7" t="inlineStr">
        <is>
          <t>Tier 1</t>
        </is>
      </c>
      <c r="I28" s="8" t="inlineStr">
        <is>
          <t>Activo</t>
        </is>
      </c>
      <c r="J28" s="4" t="inlineStr">
        <is>
          <t>Free tier Phase 0 · $1-5 USD al escalar</t>
        </is>
      </c>
    </row>
    <row r="29">
      <c r="A29" s="4" t="inlineStr">
        <is>
          <t>Vendor variable</t>
        </is>
      </c>
      <c r="B29" s="4" t="inlineStr">
        <is>
          <t>PAC per timbre</t>
        </is>
      </c>
      <c r="C29" s="4" t="inlineStr">
        <is>
          <t>CFDI generation per cliente</t>
        </is>
      </c>
      <c r="D29" s="4" t="inlineStr">
        <is>
          <t>Variable</t>
        </is>
      </c>
      <c r="E29" s="4" t="inlineStr">
        <is>
          <t>Mensual/cliente</t>
        </is>
      </c>
      <c r="F29" s="5" t="n">
        <v>40</v>
      </c>
      <c r="G29" s="6" t="n">
        <v>2</v>
      </c>
      <c r="H29" s="9" t="inlineStr">
        <is>
          <t>Tier 2.0</t>
        </is>
      </c>
      <c r="I29" s="10" t="inlineStr">
        <is>
          <t>Pending</t>
        </is>
      </c>
      <c r="J29" s="4" t="inlineStr">
        <is>
          <t>$1-3 USD/cliente</t>
        </is>
      </c>
    </row>
    <row r="30">
      <c r="A30" s="4" t="inlineStr">
        <is>
          <t>Vendor variable</t>
        </is>
      </c>
      <c r="B30" s="4" t="inlineStr">
        <is>
          <t>Stripe/Conekta fee</t>
        </is>
      </c>
      <c r="C30" s="4" t="inlineStr">
        <is>
          <t>Payment processing ~3% revenue</t>
        </is>
      </c>
      <c r="D30" s="4" t="inlineStr">
        <is>
          <t>Variable</t>
        </is>
      </c>
      <c r="E30" s="4" t="inlineStr">
        <is>
          <t>Per transacción</t>
        </is>
      </c>
      <c r="F30" s="5" t="n">
        <v>90</v>
      </c>
      <c r="G30" s="6" t="n">
        <v>4</v>
      </c>
      <c r="H30" s="9" t="inlineStr">
        <is>
          <t>Tier 2.0</t>
        </is>
      </c>
      <c r="I30" s="10" t="inlineStr">
        <is>
          <t>Pending</t>
        </is>
      </c>
      <c r="J30" s="4" t="inlineStr">
        <is>
          <t>2.9-3.6% del cobro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4" customHeight="1">
      <c r="A1" s="1" t="inlineStr">
        <is>
          <t>ZENET · Tracking Mensual de Costos Fase 0 (MXN)</t>
        </is>
      </c>
    </row>
    <row r="2">
      <c r="A2" s="2" t="inlineStr">
        <is>
          <t>Llenar con valores REALES cada mes · fijos activos pre-poblados (baseline) · variables/one-time se llenan cuando ocurren · totales automáticos</t>
        </is>
      </c>
    </row>
    <row r="3">
      <c r="A3" s="3" t="inlineStr">
        <is>
          <t>Concepto</t>
        </is>
      </c>
      <c r="B3" s="3" t="inlineStr">
        <is>
          <t>Jun 2026</t>
        </is>
      </c>
      <c r="C3" s="3" t="inlineStr">
        <is>
          <t>Jul 2026</t>
        </is>
      </c>
      <c r="D3" s="3" t="inlineStr">
        <is>
          <t>Ago 2026</t>
        </is>
      </c>
      <c r="E3" s="3" t="inlineStr">
        <is>
          <t>Sep 2026</t>
        </is>
      </c>
      <c r="F3" s="3" t="inlineStr">
        <is>
          <t>Oct 2026</t>
        </is>
      </c>
      <c r="G3" s="3" t="inlineStr">
        <is>
          <t>Nov 2026</t>
        </is>
      </c>
      <c r="H3" s="3" t="inlineStr">
        <is>
          <t>Dic 2026</t>
        </is>
      </c>
      <c r="I3" s="3" t="inlineStr">
        <is>
          <t>Ene 2027</t>
        </is>
      </c>
      <c r="J3" s="3" t="inlineStr">
        <is>
          <t>Feb 2027</t>
        </is>
      </c>
      <c r="K3" s="3" t="inlineStr">
        <is>
          <t>Mar 2027</t>
        </is>
      </c>
      <c r="L3" s="3" t="inlineStr">
        <is>
          <t>Abr 2027</t>
        </is>
      </c>
      <c r="M3" s="3" t="inlineStr">
        <is>
          <t>May 2027</t>
        </is>
      </c>
      <c r="N3" s="3" t="inlineStr">
        <is>
          <t>TOTAL</t>
        </is>
      </c>
    </row>
    <row r="4">
      <c r="A4" s="11" t="inlineStr">
        <is>
          <t>COSTOS FIJOS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</row>
    <row r="5">
      <c r="A5" s="4" t="inlineStr">
        <is>
          <t>Vercel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13">
        <f>SUM(B5:M5)</f>
        <v/>
      </c>
    </row>
    <row r="6">
      <c r="A6" s="4" t="inlineStr">
        <is>
          <t>Railway</t>
        </is>
      </c>
      <c r="B6" s="5" t="n">
        <v>100</v>
      </c>
      <c r="C6" s="5" t="n">
        <v>100</v>
      </c>
      <c r="D6" s="5" t="n">
        <v>100</v>
      </c>
      <c r="E6" s="5" t="n">
        <v>100</v>
      </c>
      <c r="F6" s="5" t="n">
        <v>100</v>
      </c>
      <c r="G6" s="5" t="n">
        <v>100</v>
      </c>
      <c r="H6" s="5" t="n">
        <v>100</v>
      </c>
      <c r="I6" s="5" t="n">
        <v>100</v>
      </c>
      <c r="J6" s="5" t="n">
        <v>100</v>
      </c>
      <c r="K6" s="5" t="n">
        <v>100</v>
      </c>
      <c r="L6" s="5" t="n">
        <v>100</v>
      </c>
      <c r="M6" s="5" t="n">
        <v>100</v>
      </c>
      <c r="N6" s="13">
        <f>SUM(B6:M6)</f>
        <v/>
      </c>
    </row>
    <row r="7">
      <c r="A7" s="4" t="inlineStr">
        <is>
          <t>Supabase</t>
        </is>
      </c>
      <c r="B7" s="5" t="n">
        <v>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13">
        <f>SUM(B7:M7)</f>
        <v/>
      </c>
    </row>
    <row r="8">
      <c r="A8" s="4" t="inlineStr">
        <is>
          <t>Langfuse</t>
        </is>
      </c>
      <c r="B8" s="5" t="n">
        <v>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13">
        <f>SUM(B8:M8)</f>
        <v/>
      </c>
    </row>
    <row r="9">
      <c r="A9" s="4" t="inlineStr">
        <is>
          <t>Sentry</t>
        </is>
      </c>
      <c r="B9" s="5" t="n">
        <v>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13">
        <f>SUM(B9:M9)</f>
        <v/>
      </c>
    </row>
    <row r="10">
      <c r="A10" s="4" t="inlineStr">
        <is>
          <t>PostHog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13">
        <f>SUM(B10:M10)</f>
        <v/>
      </c>
    </row>
    <row r="11">
      <c r="A11" s="4" t="inlineStr">
        <is>
          <t>GitHub</t>
        </is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13">
        <f>SUM(B11:M11)</f>
        <v/>
      </c>
    </row>
    <row r="12">
      <c r="A12" s="4" t="inlineStr">
        <is>
          <t>Dominio (amort.)</t>
        </is>
      </c>
      <c r="B12" s="5" t="n">
        <v>40</v>
      </c>
      <c r="C12" s="5" t="n">
        <v>40</v>
      </c>
      <c r="D12" s="5" t="n">
        <v>40</v>
      </c>
      <c r="E12" s="5" t="n">
        <v>40</v>
      </c>
      <c r="F12" s="5" t="n">
        <v>40</v>
      </c>
      <c r="G12" s="5" t="n">
        <v>40</v>
      </c>
      <c r="H12" s="5" t="n">
        <v>40</v>
      </c>
      <c r="I12" s="5" t="n">
        <v>40</v>
      </c>
      <c r="J12" s="5" t="n">
        <v>40</v>
      </c>
      <c r="K12" s="5" t="n">
        <v>40</v>
      </c>
      <c r="L12" s="5" t="n">
        <v>40</v>
      </c>
      <c r="M12" s="5" t="n">
        <v>40</v>
      </c>
      <c r="N12" s="13">
        <f>SUM(B12:M12)</f>
        <v/>
      </c>
    </row>
    <row r="13">
      <c r="A13" s="4" t="inlineStr">
        <is>
          <t>Anthropic Max</t>
        </is>
      </c>
      <c r="B13" s="5" t="n">
        <v>2000</v>
      </c>
      <c r="C13" s="5" t="n">
        <v>2000</v>
      </c>
      <c r="D13" s="5" t="n">
        <v>2000</v>
      </c>
      <c r="E13" s="5" t="n">
        <v>2000</v>
      </c>
      <c r="F13" s="5" t="n">
        <v>2000</v>
      </c>
      <c r="G13" s="5" t="n">
        <v>2000</v>
      </c>
      <c r="H13" s="5" t="n">
        <v>2000</v>
      </c>
      <c r="I13" s="5" t="n">
        <v>2000</v>
      </c>
      <c r="J13" s="5" t="n">
        <v>2000</v>
      </c>
      <c r="K13" s="5" t="n">
        <v>2000</v>
      </c>
      <c r="L13" s="5" t="n">
        <v>2000</v>
      </c>
      <c r="M13" s="5" t="n">
        <v>2000</v>
      </c>
      <c r="N13" s="13">
        <f>SUM(B13:M13)</f>
        <v/>
      </c>
    </row>
    <row r="14">
      <c r="A14" s="4" t="inlineStr">
        <is>
          <t>Figma</t>
        </is>
      </c>
      <c r="B14" s="5" t="n">
        <v>400</v>
      </c>
      <c r="C14" s="5" t="n">
        <v>400</v>
      </c>
      <c r="D14" s="5" t="n">
        <v>400</v>
      </c>
      <c r="E14" s="5" t="n">
        <v>400</v>
      </c>
      <c r="F14" s="5" t="n">
        <v>400</v>
      </c>
      <c r="G14" s="5" t="n">
        <v>400</v>
      </c>
      <c r="H14" s="5" t="n">
        <v>400</v>
      </c>
      <c r="I14" s="5" t="n">
        <v>400</v>
      </c>
      <c r="J14" s="5" t="n">
        <v>400</v>
      </c>
      <c r="K14" s="5" t="n">
        <v>400</v>
      </c>
      <c r="L14" s="5" t="n">
        <v>400</v>
      </c>
      <c r="M14" s="5" t="n">
        <v>400</v>
      </c>
      <c r="N14" s="13">
        <f>SUM(B14:M14)</f>
        <v/>
      </c>
    </row>
    <row r="15">
      <c r="A15" s="4" t="inlineStr">
        <is>
          <t>Notion</t>
        </is>
      </c>
      <c r="B15" s="5" t="n">
        <v>200</v>
      </c>
      <c r="C15" s="5" t="n">
        <v>200</v>
      </c>
      <c r="D15" s="5" t="n">
        <v>200</v>
      </c>
      <c r="E15" s="5" t="n">
        <v>200</v>
      </c>
      <c r="F15" s="5" t="n">
        <v>200</v>
      </c>
      <c r="G15" s="5" t="n">
        <v>200</v>
      </c>
      <c r="H15" s="5" t="n">
        <v>200</v>
      </c>
      <c r="I15" s="5" t="n">
        <v>200</v>
      </c>
      <c r="J15" s="5" t="n">
        <v>200</v>
      </c>
      <c r="K15" s="5" t="n">
        <v>200</v>
      </c>
      <c r="L15" s="5" t="n">
        <v>200</v>
      </c>
      <c r="M15" s="5" t="n">
        <v>200</v>
      </c>
      <c r="N15" s="13">
        <f>SUM(B15:M15)</f>
        <v/>
      </c>
    </row>
    <row r="16">
      <c r="A16" s="4" t="inlineStr">
        <is>
          <t>Adobe</t>
        </is>
      </c>
      <c r="B16" s="5" t="n">
        <v>1100</v>
      </c>
      <c r="C16" s="5" t="n">
        <v>1100</v>
      </c>
      <c r="D16" s="5" t="n">
        <v>1100</v>
      </c>
      <c r="E16" s="5" t="n">
        <v>1100</v>
      </c>
      <c r="F16" s="5" t="n">
        <v>1100</v>
      </c>
      <c r="G16" s="5" t="n">
        <v>1100</v>
      </c>
      <c r="H16" s="5" t="n">
        <v>1100</v>
      </c>
      <c r="I16" s="5" t="n">
        <v>1100</v>
      </c>
      <c r="J16" s="5" t="n">
        <v>1100</v>
      </c>
      <c r="K16" s="5" t="n">
        <v>1100</v>
      </c>
      <c r="L16" s="5" t="n">
        <v>1100</v>
      </c>
      <c r="M16" s="5" t="n">
        <v>1100</v>
      </c>
      <c r="N16" s="13">
        <f>SUM(B16:M16)</f>
        <v/>
      </c>
    </row>
    <row r="17">
      <c r="A17" s="4" t="inlineStr">
        <is>
          <t>Google Workspace</t>
        </is>
      </c>
      <c r="B17" s="5" t="n">
        <v>120</v>
      </c>
      <c r="C17" s="5" t="n">
        <v>120</v>
      </c>
      <c r="D17" s="5" t="n">
        <v>120</v>
      </c>
      <c r="E17" s="5" t="n">
        <v>120</v>
      </c>
      <c r="F17" s="5" t="n">
        <v>120</v>
      </c>
      <c r="G17" s="5" t="n">
        <v>120</v>
      </c>
      <c r="H17" s="5" t="n">
        <v>120</v>
      </c>
      <c r="I17" s="5" t="n">
        <v>120</v>
      </c>
      <c r="J17" s="5" t="n">
        <v>120</v>
      </c>
      <c r="K17" s="5" t="n">
        <v>120</v>
      </c>
      <c r="L17" s="5" t="n">
        <v>120</v>
      </c>
      <c r="M17" s="5" t="n">
        <v>120</v>
      </c>
      <c r="N17" s="13">
        <f>SUM(B17:M17)</f>
        <v/>
      </c>
    </row>
    <row r="18">
      <c r="A18" s="4" t="inlineStr">
        <is>
          <t>Lawyer (amort. 6m)</t>
        </is>
      </c>
      <c r="B18" s="5" t="n">
        <v>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13">
        <f>SUM(B18:M18)</f>
        <v/>
      </c>
    </row>
    <row r="19">
      <c r="A19" s="4" t="inlineStr">
        <is>
          <t>Contador</t>
        </is>
      </c>
      <c r="B19" s="5" t="n">
        <v>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0</v>
      </c>
      <c r="N19" s="13">
        <f>SUM(B19:M19)</f>
        <v/>
      </c>
    </row>
    <row r="20">
      <c r="A20" s="4" t="inlineStr">
        <is>
          <t>PAC CFDI</t>
        </is>
      </c>
      <c r="B20" s="5" t="n">
        <v>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13">
        <f>SUM(B20:M20)</f>
        <v/>
      </c>
    </row>
    <row r="21">
      <c r="A21" s="14" t="inlineStr">
        <is>
          <t>Subtotal Fijos</t>
        </is>
      </c>
      <c r="B21" s="15">
        <f>SUM(B5:B20)</f>
        <v/>
      </c>
      <c r="C21" s="15">
        <f>SUM(C5:C20)</f>
        <v/>
      </c>
      <c r="D21" s="15">
        <f>SUM(D5:D20)</f>
        <v/>
      </c>
      <c r="E21" s="15">
        <f>SUM(E5:E20)</f>
        <v/>
      </c>
      <c r="F21" s="15">
        <f>SUM(F5:F20)</f>
        <v/>
      </c>
      <c r="G21" s="15">
        <f>SUM(G5:G20)</f>
        <v/>
      </c>
      <c r="H21" s="15">
        <f>SUM(H5:H20)</f>
        <v/>
      </c>
      <c r="I21" s="15">
        <f>SUM(I5:I20)</f>
        <v/>
      </c>
      <c r="J21" s="15">
        <f>SUM(J5:J20)</f>
        <v/>
      </c>
      <c r="K21" s="15">
        <f>SUM(K5:K20)</f>
        <v/>
      </c>
      <c r="L21" s="15">
        <f>SUM(L5:L20)</f>
        <v/>
      </c>
      <c r="M21" s="15">
        <f>SUM(M5:M20)</f>
        <v/>
      </c>
      <c r="N21" s="15">
        <f>SUM(B21:M21)</f>
        <v/>
      </c>
    </row>
    <row r="22">
      <c r="A22" s="11" t="inlineStr">
        <is>
          <t>COSTOS VARIABLES (por cliente)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</row>
    <row r="23">
      <c r="A23" s="4" t="inlineStr">
        <is>
          <t>Anthropic API (clientes)</t>
        </is>
      </c>
      <c r="B23" s="5" t="n">
        <v>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13">
        <f>SUM(B23:M23)</f>
        <v/>
      </c>
    </row>
    <row r="24">
      <c r="A24" s="4" t="inlineStr">
        <is>
          <t>WhatsApp Business (clientes)</t>
        </is>
      </c>
      <c r="B24" s="5" t="n">
        <v>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13">
        <f>SUM(B24:M24)</f>
        <v/>
      </c>
    </row>
    <row r="25">
      <c r="A25" s="4" t="inlineStr">
        <is>
          <t>Supabase compute (clientes)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13">
        <f>SUM(B25:M25)</f>
        <v/>
      </c>
    </row>
    <row r="26">
      <c r="A26" s="4" t="inlineStr">
        <is>
          <t>PAC timbre (clientes)</t>
        </is>
      </c>
      <c r="B26" s="5" t="n">
        <v>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13">
        <f>SUM(B26:M26)</f>
        <v/>
      </c>
    </row>
    <row r="27">
      <c r="A27" s="4" t="inlineStr">
        <is>
          <t>Stripe/Conekta fee</t>
        </is>
      </c>
      <c r="B27" s="5" t="n">
        <v>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13">
        <f>SUM(B27:M27)</f>
        <v/>
      </c>
    </row>
    <row r="28">
      <c r="A28" s="14" t="inlineStr">
        <is>
          <t>Subtotal Variables</t>
        </is>
      </c>
      <c r="B28" s="15">
        <f>SUM(B23:B27)</f>
        <v/>
      </c>
      <c r="C28" s="15">
        <f>SUM(C23:C27)</f>
        <v/>
      </c>
      <c r="D28" s="15">
        <f>SUM(D23:D27)</f>
        <v/>
      </c>
      <c r="E28" s="15">
        <f>SUM(E23:E27)</f>
        <v/>
      </c>
      <c r="F28" s="15">
        <f>SUM(F23:F27)</f>
        <v/>
      </c>
      <c r="G28" s="15">
        <f>SUM(G23:G27)</f>
        <v/>
      </c>
      <c r="H28" s="15">
        <f>SUM(H23:H27)</f>
        <v/>
      </c>
      <c r="I28" s="15">
        <f>SUM(I23:I27)</f>
        <v/>
      </c>
      <c r="J28" s="15">
        <f>SUM(J23:J27)</f>
        <v/>
      </c>
      <c r="K28" s="15">
        <f>SUM(K23:K27)</f>
        <v/>
      </c>
      <c r="L28" s="15">
        <f>SUM(L23:L27)</f>
        <v/>
      </c>
      <c r="M28" s="15">
        <f>SUM(M23:M27)</f>
        <v/>
      </c>
      <c r="N28" s="15">
        <f>SUM(B28:M28)</f>
        <v/>
      </c>
    </row>
    <row r="29">
      <c r="A29" s="11" t="inlineStr">
        <is>
          <t>COSTOS ONE-TIME</t>
        </is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0">
      <c r="A30" s="4" t="inlineStr">
        <is>
          <t>MacBook Pro M4 (amort.)</t>
        </is>
      </c>
      <c r="B30" s="5" t="n">
        <v>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13">
        <f>SUM(B30:M30)</f>
        <v/>
      </c>
    </row>
    <row r="31">
      <c r="A31" s="4" t="inlineStr">
        <is>
          <t>PFAE setup SAT</t>
        </is>
      </c>
      <c r="B31" s="5" t="n">
        <v>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13">
        <f>SUM(B31:M31)</f>
        <v/>
      </c>
    </row>
    <row r="32">
      <c r="A32" s="4" t="inlineStr">
        <is>
          <t>Cuenta bancaria</t>
        </is>
      </c>
      <c r="B32" s="5" t="n">
        <v>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13">
        <f>SUM(B32:M32)</f>
        <v/>
      </c>
    </row>
    <row r="33">
      <c r="A33" s="4" t="inlineStr">
        <is>
          <t>IMPI marca</t>
        </is>
      </c>
      <c r="B33" s="5" t="n">
        <v>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0</v>
      </c>
      <c r="N33" s="13">
        <f>SUM(B33:M33)</f>
        <v/>
      </c>
    </row>
    <row r="34">
      <c r="A34" s="4" t="inlineStr">
        <is>
          <t>Website básico</t>
        </is>
      </c>
      <c r="B34" s="5" t="n">
        <v>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13">
        <f>SUM(B34:M34)</f>
        <v/>
      </c>
    </row>
    <row r="35">
      <c r="A35" s="14" t="inlineStr">
        <is>
          <t>Subtotal One-time</t>
        </is>
      </c>
      <c r="B35" s="15">
        <f>SUM(B30:B34)</f>
        <v/>
      </c>
      <c r="C35" s="15">
        <f>SUM(C30:C34)</f>
        <v/>
      </c>
      <c r="D35" s="15">
        <f>SUM(D30:D34)</f>
        <v/>
      </c>
      <c r="E35" s="15">
        <f>SUM(E30:E34)</f>
        <v/>
      </c>
      <c r="F35" s="15">
        <f>SUM(F30:F34)</f>
        <v/>
      </c>
      <c r="G35" s="15">
        <f>SUM(G30:G34)</f>
        <v/>
      </c>
      <c r="H35" s="15">
        <f>SUM(H30:H34)</f>
        <v/>
      </c>
      <c r="I35" s="15">
        <f>SUM(I30:I34)</f>
        <v/>
      </c>
      <c r="J35" s="15">
        <f>SUM(J30:J34)</f>
        <v/>
      </c>
      <c r="K35" s="15">
        <f>SUM(K30:K34)</f>
        <v/>
      </c>
      <c r="L35" s="15">
        <f>SUM(L30:L34)</f>
        <v/>
      </c>
      <c r="M35" s="15">
        <f>SUM(M30:M34)</f>
        <v/>
      </c>
      <c r="N35" s="15">
        <f>SUM(B35:M35)</f>
        <v/>
      </c>
    </row>
    <row r="36">
      <c r="A36" s="16" t="inlineStr">
        <is>
          <t>TOTAL COSTOS / MES</t>
        </is>
      </c>
      <c r="B36" s="17">
        <f>B21+B28+B35</f>
        <v/>
      </c>
      <c r="C36" s="17">
        <f>C21+C28+C35</f>
        <v/>
      </c>
      <c r="D36" s="17">
        <f>D21+D28+D35</f>
        <v/>
      </c>
      <c r="E36" s="17">
        <f>E21+E28+E35</f>
        <v/>
      </c>
      <c r="F36" s="17">
        <f>F21+F28+F35</f>
        <v/>
      </c>
      <c r="G36" s="17">
        <f>G21+G28+G35</f>
        <v/>
      </c>
      <c r="H36" s="17">
        <f>H21+H28+H35</f>
        <v/>
      </c>
      <c r="I36" s="17">
        <f>I21+I28+I35</f>
        <v/>
      </c>
      <c r="J36" s="17">
        <f>J21+J28+J35</f>
        <v/>
      </c>
      <c r="K36" s="17">
        <f>K21+K28+K35</f>
        <v/>
      </c>
      <c r="L36" s="17">
        <f>L21+L28+L35</f>
        <v/>
      </c>
      <c r="M36" s="17">
        <f>M21+M28+M35</f>
        <v/>
      </c>
      <c r="N36" s="17">
        <f>SUM(B36:M36)</f>
        <v/>
      </c>
    </row>
    <row r="37">
      <c r="A37" s="18" t="inlineStr">
        <is>
          <t>Revenue / mes (llenar)</t>
        </is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0</v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20">
        <f>SUM(B37:M37)</f>
        <v/>
      </c>
    </row>
    <row r="38">
      <c r="A38" s="21" t="inlineStr">
        <is>
          <t>NET BURN / MES (Revenue - Costos)</t>
        </is>
      </c>
      <c r="B38" s="22">
        <f>B37-B36</f>
        <v/>
      </c>
      <c r="C38" s="22">
        <f>C37-C36</f>
        <v/>
      </c>
      <c r="D38" s="22">
        <f>D37-D36</f>
        <v/>
      </c>
      <c r="E38" s="22">
        <f>E37-E36</f>
        <v/>
      </c>
      <c r="F38" s="22">
        <f>F37-F36</f>
        <v/>
      </c>
      <c r="G38" s="22">
        <f>G37-G36</f>
        <v/>
      </c>
      <c r="H38" s="22">
        <f>H37-H36</f>
        <v/>
      </c>
      <c r="I38" s="22">
        <f>I37-I36</f>
        <v/>
      </c>
      <c r="J38" s="22">
        <f>J37-J36</f>
        <v/>
      </c>
      <c r="K38" s="22">
        <f>K37-K36</f>
        <v/>
      </c>
      <c r="L38" s="22">
        <f>L37-L36</f>
        <v/>
      </c>
      <c r="M38" s="22">
        <f>M37-M36</f>
        <v/>
      </c>
      <c r="N38" s="22">
        <f>SUM(B38:M38)</f>
        <v/>
      </c>
    </row>
  </sheetData>
  <mergeCells count="5">
    <mergeCell ref="A22:N22"/>
    <mergeCell ref="A4:N4"/>
    <mergeCell ref="A2:N2"/>
    <mergeCell ref="A29:N29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4" customWidth="1" min="3" max="3"/>
    <col width="50" customWidth="1" min="4" max="4"/>
  </cols>
  <sheetData>
    <row r="1" ht="24" customHeight="1">
      <c r="A1" s="1" t="inlineStr">
        <is>
          <t>ZENET · Dashboard Resumen Costos Fase 0</t>
        </is>
      </c>
    </row>
    <row r="2">
      <c r="A2" s="2" t="inlineStr">
        <is>
          <t>Resumen automático desde Tracking Mensual · ajustar selección de mes según necesidad</t>
        </is>
      </c>
    </row>
    <row r="4">
      <c r="A4" s="3" t="inlineStr">
        <is>
          <t>Métrica</t>
        </is>
      </c>
      <c r="B4" s="3" t="inlineStr">
        <is>
          <t>Valor</t>
        </is>
      </c>
    </row>
    <row r="5">
      <c r="A5" s="23" t="inlineStr">
        <is>
          <t>Costos Fijos (12m)</t>
        </is>
      </c>
      <c r="B5" s="5">
        <f>'Tracking Mensual'!N21</f>
        <v/>
      </c>
    </row>
    <row r="6">
      <c r="A6" s="23" t="inlineStr">
        <is>
          <t>Costos Variables (12m)</t>
        </is>
      </c>
      <c r="B6" s="5">
        <f>'Tracking Mensual'!N28</f>
        <v/>
      </c>
    </row>
    <row r="7">
      <c r="A7" s="23" t="inlineStr">
        <is>
          <t>Costos One-time (12m)</t>
        </is>
      </c>
      <c r="B7" s="5">
        <f>'Tracking Mensual'!N35</f>
        <v/>
      </c>
    </row>
    <row r="8">
      <c r="A8" s="14" t="inlineStr">
        <is>
          <t>TOTAL Costos (12m)</t>
        </is>
      </c>
      <c r="B8" s="24">
        <f>'Tracking Mensual'!N36</f>
        <v/>
      </c>
    </row>
    <row r="9">
      <c r="A9" s="23" t="inlineStr">
        <is>
          <t>Revenue (12m)</t>
        </is>
      </c>
      <c r="B9" s="5">
        <f>'Tracking Mensual'!N37</f>
        <v/>
      </c>
    </row>
    <row r="10">
      <c r="A10" s="25" t="inlineStr">
        <is>
          <t>NET BURN acumulado (12m)</t>
        </is>
      </c>
      <c r="B10" s="26">
        <f>'Tracking Mensual'!N38</f>
        <v/>
      </c>
    </row>
    <row r="12">
      <c r="A12" s="23" t="inlineStr">
        <is>
          <t>Baseline fijo mensual (Jun 2026)</t>
        </is>
      </c>
      <c r="B12" s="5">
        <f>'Tracking Mensual'!B21</f>
        <v/>
      </c>
    </row>
    <row r="14">
      <c r="A14" s="27" t="inlineStr">
        <is>
          <t>Notas Dashboard</t>
        </is>
      </c>
    </row>
    <row r="15">
      <c r="A15" s="2" t="inlineStr">
        <is>
          <t>· Fijos baseline Phase 0 ~$3,960 MXN/mes (founder tools + Railway + dominio · resto free tier).</t>
        </is>
      </c>
    </row>
    <row r="16">
      <c r="A16" s="2" t="inlineStr">
        <is>
          <t>· Lawyer/Contador/PAC activan en Tier 2.0 (LOI gate · primer cobro confirmado).</t>
        </is>
      </c>
    </row>
    <row r="17">
      <c r="A17" s="2" t="inlineStr">
        <is>
          <t>· Variables crecen con # clientes · Anthropic dominante (-50% con prompt caching Capa 1).</t>
        </is>
      </c>
    </row>
    <row r="18">
      <c r="A18" s="2" t="inlineStr">
        <is>
          <t>· One-time (MacBook · IMPI · PFAE · website) se registran en el mes que ocurren.</t>
        </is>
      </c>
    </row>
    <row r="19">
      <c r="A19" s="2" t="inlineStr">
        <is>
          <t>· Founder time opportunity cost NO incluido (no es cash · ~$40-80K MXN/mes equivalente).</t>
        </is>
      </c>
    </row>
    <row r="20">
      <c r="A20" s="2" t="inlineStr">
        <is>
          <t>· Trigger upgrade a financial model formal: 3+ design partners Mes 3+ (cf. 02-financial-model scaffold).</t>
        </is>
      </c>
    </row>
  </sheetData>
  <mergeCells count="8">
    <mergeCell ref="A1:D1"/>
    <mergeCell ref="A17:D17"/>
    <mergeCell ref="A18:D18"/>
    <mergeCell ref="A20:D20"/>
    <mergeCell ref="A15:D15"/>
    <mergeCell ref="A16:D16"/>
    <mergeCell ref="A2:D2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2026-06-02T15:36:47Z</dcterms:created>
  <dcterms:modified xsi:type="dcterms:W3CDTF">2026-06-02T15:36:47Z</dcterms:modified>
</cp:coreProperties>
</file>